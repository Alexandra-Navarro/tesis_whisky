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na\OneDrive - usach.cl\Escritorio\Tesis\"/>
    </mc:Choice>
  </mc:AlternateContent>
  <xr:revisionPtr revIDLastSave="0" documentId="13_ncr:1_{2192E600-0C62-437E-8964-93458FFC9DCB}" xr6:coauthVersionLast="47" xr6:coauthVersionMax="47" xr10:uidLastSave="{00000000-0000-0000-0000-000000000000}"/>
  <bookViews>
    <workbookView xWindow="-98" yWindow="-98" windowWidth="21795" windowHeight="12975" tabRatio="771" activeTab="4" xr2:uid="{00000000-000D-0000-FFFF-FFFF00000000}"/>
  </bookViews>
  <sheets>
    <sheet name="Respuestas de formulario 1" sheetId="1" r:id="rId1"/>
    <sheet name="Muestra 1" sheetId="2" r:id="rId2"/>
    <sheet name="Muestra 2" sheetId="4" r:id="rId3"/>
    <sheet name="Muestra 3" sheetId="7" r:id="rId4"/>
    <sheet name="Levaduras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7" l="1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2" i="7"/>
  <c r="L11" i="7"/>
  <c r="L10" i="7"/>
  <c r="L9" i="7"/>
  <c r="L8" i="7"/>
  <c r="L7" i="7"/>
  <c r="L6" i="7"/>
  <c r="L5" i="7"/>
  <c r="L4" i="7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2" i="4"/>
  <c r="L11" i="4"/>
  <c r="L10" i="4"/>
  <c r="L9" i="4"/>
  <c r="L8" i="4"/>
  <c r="L7" i="4"/>
  <c r="L6" i="4"/>
  <c r="L5" i="4"/>
  <c r="L4" i="4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2" i="2"/>
  <c r="L11" i="2"/>
  <c r="L10" i="2"/>
  <c r="L9" i="2"/>
  <c r="L8" i="2"/>
  <c r="L7" i="2"/>
  <c r="L6" i="2"/>
  <c r="L5" i="2"/>
  <c r="L4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</calcChain>
</file>

<file path=xl/sharedStrings.xml><?xml version="1.0" encoding="utf-8"?>
<sst xmlns="http://schemas.openxmlformats.org/spreadsheetml/2006/main" count="463" uniqueCount="177">
  <si>
    <t>fcocubillos@gmail.com</t>
  </si>
  <si>
    <t>Francisco Cubillos</t>
  </si>
  <si>
    <t>ignacia.moreno@usach.cl</t>
  </si>
  <si>
    <t>Ignacia Moreno</t>
  </si>
  <si>
    <t>rodrigo.gutierrez@gmail.com</t>
  </si>
  <si>
    <t>Rodrigo Gutierrez</t>
  </si>
  <si>
    <t>3, 4</t>
  </si>
  <si>
    <t>2, 3</t>
  </si>
  <si>
    <t xml:space="preserve">Senti poco en aroma pero al probarlo un gusto que me sorprendió. Destacan frutas. </t>
  </si>
  <si>
    <t xml:space="preserve">Está bueno </t>
  </si>
  <si>
    <t>drjuanfrancisco.86.8@gmail.com</t>
  </si>
  <si>
    <t>Juan Fco Miquel</t>
  </si>
  <si>
    <t>1, 2</t>
  </si>
  <si>
    <t>Alcohol</t>
  </si>
  <si>
    <t>soledad@tncoopers.com</t>
  </si>
  <si>
    <t>Sol Sánchez</t>
  </si>
  <si>
    <t>Whiskey suave, balanceado, destacan las notas frutales y de cereal por sobre el tostado y ahumado. Picante en boca. Final suave y persistente.</t>
  </si>
  <si>
    <t>Un poco de nuez quizas</t>
  </si>
  <si>
    <t xml:space="preserve">Me gustó más el #1. </t>
  </si>
  <si>
    <t xml:space="preserve">Cargado al cereal pero de bajo aroma. Gusto en boca fuerte, un poco amargo. </t>
  </si>
  <si>
    <t>daraya@tncoopers.com</t>
  </si>
  <si>
    <t>David Araya</t>
  </si>
  <si>
    <t>Humedad</t>
  </si>
  <si>
    <t>No sentí tanto ahumado</t>
  </si>
  <si>
    <t>Tiene un aroma a humedad/moho leve</t>
  </si>
  <si>
    <t>robquiro1977@gmail.com</t>
  </si>
  <si>
    <t>Roberto Quiroz</t>
  </si>
  <si>
    <t xml:space="preserve">Dulce frutal con toques de vainilla y un poco punzante </t>
  </si>
  <si>
    <t>mariaisabel11897@gmail.com</t>
  </si>
  <si>
    <t xml:space="preserve">Maria Isabel González </t>
  </si>
  <si>
    <t>Nota verde recuerda manzana y nota herbal</t>
  </si>
  <si>
    <t>Buen equilibrio, muy buena madera, harta vainilla. No se siente tan ahumado</t>
  </si>
  <si>
    <t>Whiskey semejante al anterior, mas frutal y con notas a cereal. Ahumado imperceptible, solo atribuible a la madera lo que al combinar con el cereal da una nota medicinal. Mejora considerablemente el ataque en boca. Final largo y elegante.</t>
  </si>
  <si>
    <t>Glicerol</t>
  </si>
  <si>
    <t>Leve nota a etanal</t>
  </si>
  <si>
    <t>Muy ligero en comparación con las muestras 1 y 2</t>
  </si>
  <si>
    <t xml:space="preserve">Senti sabor medicinal. </t>
  </si>
  <si>
    <t>Lo pondría entre 1 y 2. Nota 5</t>
  </si>
  <si>
    <t xml:space="preserve">Me pareció interesante. Aunque tenía algunas notas medicinales en boca. Más equilibrado que los otros dos que probé. El número 1 sigue ganando </t>
  </si>
  <si>
    <t>maria isabel gonzalez</t>
  </si>
  <si>
    <t>Frutal fresco</t>
  </si>
  <si>
    <t>especiado leve</t>
  </si>
  <si>
    <t>caramelo, nota dulce</t>
  </si>
  <si>
    <t>Juan Fco Miqurl</t>
  </si>
  <si>
    <t>Almendra</t>
  </si>
  <si>
    <t xml:space="preserve">Roberto Quiroz </t>
  </si>
  <si>
    <t>Punzante con toque a frutos secos</t>
  </si>
  <si>
    <t>Whisky frutal y con bastantes notas a vainilla. En boca muy picante aun, lo que produce cierto desequilibrio.  Ahumado muy leve proveniente probablemente de la madera.
Final largo.</t>
  </si>
  <si>
    <t>cervezaergo@gmail.com</t>
  </si>
  <si>
    <t xml:space="preserve">Daniel Moscoso </t>
  </si>
  <si>
    <t>Corteza de pan, masa</t>
  </si>
  <si>
    <t>Corteza de pan, masa, banana, pimienta, pera</t>
  </si>
  <si>
    <t xml:space="preserve">Pera </t>
  </si>
  <si>
    <t>Queda quemante/picante</t>
  </si>
  <si>
    <t>Aroma recuerda a levadura, pan.</t>
  </si>
  <si>
    <t>Frutos secos punzante debajo complejidad</t>
  </si>
  <si>
    <t xml:space="preserve">Pera, banana, chocolate </t>
  </si>
  <si>
    <t>Pera, banana, membrillo</t>
  </si>
  <si>
    <t>Pera, turba/moho</t>
  </si>
  <si>
    <t xml:space="preserve">Armónico </t>
  </si>
  <si>
    <t>Complejo y fácil de beber</t>
  </si>
  <si>
    <t>Pera, dátiles, caramelo, masa/pan</t>
  </si>
  <si>
    <t>Masa, frutos rojos</t>
  </si>
  <si>
    <t xml:space="preserve">Dátiles </t>
  </si>
  <si>
    <t>Da volumen en boca</t>
  </si>
  <si>
    <t>La madera queda duradera</t>
  </si>
  <si>
    <t>PROMEDIO</t>
  </si>
  <si>
    <t>Frutal fresco, especiado</t>
  </si>
  <si>
    <t>Plátano, Maracuya</t>
  </si>
  <si>
    <t>dorado en color</t>
  </si>
  <si>
    <t>Anne  Sperschneider</t>
  </si>
  <si>
    <t>Largo, elegante, persistente. El más equilibrado</t>
  </si>
  <si>
    <t>Agradable, nota frutos secos, dulzor</t>
  </si>
  <si>
    <t>Masa, frutos rojos, Dátiles</t>
  </si>
  <si>
    <t>astringente, color intenso</t>
  </si>
  <si>
    <t>C-70</t>
  </si>
  <si>
    <t>B1</t>
  </si>
  <si>
    <t>H76</t>
  </si>
  <si>
    <t>identificador</t>
  </si>
  <si>
    <t>dato_panel</t>
  </si>
  <si>
    <t>tipo_panel</t>
  </si>
  <si>
    <t>id_panel</t>
  </si>
  <si>
    <t>marca_temporal</t>
  </si>
  <si>
    <t>correo_electronico</t>
  </si>
  <si>
    <t>nombre_catador</t>
  </si>
  <si>
    <t>num_muestra</t>
  </si>
  <si>
    <t xml:space="preserve"> aroma_ahumado</t>
  </si>
  <si>
    <t>aroma_medicinal</t>
  </si>
  <si>
    <t>aroma_terroso</t>
  </si>
  <si>
    <t>aroma_amaderado</t>
  </si>
  <si>
    <t>aroma_cafe</t>
  </si>
  <si>
    <t>aroma_otro</t>
  </si>
  <si>
    <t>aroma_frutal</t>
  </si>
  <si>
    <t>aroma_vainilla</t>
  </si>
  <si>
    <t>aroma_cereal</t>
  </si>
  <si>
    <t>aroma_otro_texto</t>
  </si>
  <si>
    <t>aroma_otras_notas texto</t>
  </si>
  <si>
    <t>sabor_ahumado</t>
  </si>
  <si>
    <t>sabor_medicinal</t>
  </si>
  <si>
    <t>sabor_terroso</t>
  </si>
  <si>
    <t>sabor_amaderado</t>
  </si>
  <si>
    <t>sabor_cafe</t>
  </si>
  <si>
    <t>sabor_frutal</t>
  </si>
  <si>
    <t>sabor_vainilla</t>
  </si>
  <si>
    <t>sabor_cereal</t>
  </si>
  <si>
    <t>sabor_otras_notas_texto</t>
  </si>
  <si>
    <t>sabor_sensacion_boca</t>
  </si>
  <si>
    <t>regusto_duracion</t>
  </si>
  <si>
    <t>regusto_ahumado</t>
  </si>
  <si>
    <t>regusto_complejidad</t>
  </si>
  <si>
    <t>global_integracion_ahumado</t>
  </si>
  <si>
    <t>global_armonia</t>
  </si>
  <si>
    <t>global_tomabilidad</t>
  </si>
  <si>
    <t>notas_cata</t>
  </si>
  <si>
    <t>comentarios</t>
  </si>
  <si>
    <t xml:space="preserve">file </t>
  </si>
  <si>
    <t>2024-09_cata_sensorial.xlsx</t>
  </si>
  <si>
    <t>SEP24_001</t>
  </si>
  <si>
    <t>SEP24_002</t>
  </si>
  <si>
    <t>SEP24_003</t>
  </si>
  <si>
    <t>SEP24_004</t>
  </si>
  <si>
    <t>SEP24_005</t>
  </si>
  <si>
    <t>SEP24_006</t>
  </si>
  <si>
    <t>SEP24_007</t>
  </si>
  <si>
    <t>SEP24_008</t>
  </si>
  <si>
    <t>SEP24_009</t>
  </si>
  <si>
    <t>SEP24_010</t>
  </si>
  <si>
    <t>SEP24_011</t>
  </si>
  <si>
    <t>SEP24_012</t>
  </si>
  <si>
    <t>SEP24_013</t>
  </si>
  <si>
    <t>SEP24_014</t>
  </si>
  <si>
    <t>SEP24_015</t>
  </si>
  <si>
    <t>SEP24_016</t>
  </si>
  <si>
    <t>SEP24_017</t>
  </si>
  <si>
    <t>SEP24_018</t>
  </si>
  <si>
    <t>SEP24_019</t>
  </si>
  <si>
    <t>SEP24_020</t>
  </si>
  <si>
    <t>SEP24_021</t>
  </si>
  <si>
    <t>SEP24_022</t>
  </si>
  <si>
    <t>SEP24_023</t>
  </si>
  <si>
    <t>SEP24_024</t>
  </si>
  <si>
    <t>SEP24_025</t>
  </si>
  <si>
    <t>SEP24_026</t>
  </si>
  <si>
    <t>2024-09</t>
  </si>
  <si>
    <t>formulario</t>
  </si>
  <si>
    <t>SEP24_M1</t>
  </si>
  <si>
    <t>SEP24_M2</t>
  </si>
  <si>
    <t>SEP24_M3</t>
  </si>
  <si>
    <t>SEP24_M4</t>
  </si>
  <si>
    <t>SEP24_M5</t>
  </si>
  <si>
    <t>SEP24_M6</t>
  </si>
  <si>
    <t>SEP24_M7</t>
  </si>
  <si>
    <t>SEP24_M8</t>
  </si>
  <si>
    <t>SEP24_M9</t>
  </si>
  <si>
    <t>SEP24_M10</t>
  </si>
  <si>
    <t>SEP24_M11</t>
  </si>
  <si>
    <t>SEP24_M12</t>
  </si>
  <si>
    <t>SEP24_M13</t>
  </si>
  <si>
    <t>SEP24_M14</t>
  </si>
  <si>
    <t>SEP24_M15</t>
  </si>
  <si>
    <t>SEP24_M16</t>
  </si>
  <si>
    <t>SEP24_M17</t>
  </si>
  <si>
    <t>SEP24_M18</t>
  </si>
  <si>
    <t>SEP24_M19</t>
  </si>
  <si>
    <t>SEP24_M20</t>
  </si>
  <si>
    <t>SEP24_M21</t>
  </si>
  <si>
    <t>SEP24_M22</t>
  </si>
  <si>
    <t>SEP24_M23</t>
  </si>
  <si>
    <t>SEP24_M24</t>
  </si>
  <si>
    <t>SEP24_M25</t>
  </si>
  <si>
    <t>SEP24_M26</t>
  </si>
  <si>
    <t>aroma_cereal_limpio</t>
  </si>
  <si>
    <r>
      <t>Tomabilidad; el ahumado (</t>
    </r>
    <r>
      <rPr>
        <b/>
        <i/>
        <sz val="14"/>
        <color theme="1"/>
        <rFont val="Arial"/>
        <family val="2"/>
        <scheme val="minor"/>
      </rPr>
      <t>peat)</t>
    </r>
    <r>
      <rPr>
        <b/>
        <sz val="14"/>
        <color theme="1"/>
        <rFont val="Arial"/>
        <family val="2"/>
        <scheme val="minor"/>
      </rPr>
      <t xml:space="preserve"> es abrumador (1) o bien equilibrado (5).</t>
    </r>
  </si>
  <si>
    <t>aroma_ahumado</t>
  </si>
  <si>
    <t xml:space="preserve"> aroma_amaderado</t>
  </si>
  <si>
    <t>aroma_almendra</t>
  </si>
  <si>
    <t>aroma_otras_notas_texto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</si>
</sst>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442F65"/>
      </right>
      <top/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84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5" fontId="0" fillId="0" borderId="0" xfId="0" applyNumberFormat="1"/>
    <xf numFmtId="0" fontId="4" fillId="0" borderId="0" xfId="0" applyFont="1"/>
    <xf numFmtId="165" fontId="5" fillId="0" borderId="0" xfId="0" applyNumberFormat="1" applyFont="1"/>
    <xf numFmtId="0" fontId="5" fillId="0" borderId="0" xfId="0" applyFont="1"/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7" fillId="0" borderId="0" xfId="1" applyFont="1" applyAlignment="1">
      <alignment wrapText="1"/>
    </xf>
    <xf numFmtId="0" fontId="8" fillId="0" borderId="0" xfId="1" applyFont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1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1" fillId="0" borderId="7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7" fillId="0" borderId="0" xfId="1" applyFont="1" applyAlignment="1">
      <alignment horizontal="center" wrapText="1"/>
    </xf>
    <xf numFmtId="164" fontId="1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" fillId="0" borderId="0" xfId="1" applyFont="1" applyAlignment="1">
      <alignment wrapText="1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8" fillId="5" borderId="9" xfId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4" fillId="0" borderId="0" xfId="0" applyFont="1"/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165" fontId="17" fillId="0" borderId="0" xfId="0" applyNumberFormat="1" applyFont="1"/>
    <xf numFmtId="0" fontId="10" fillId="2" borderId="3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2" fillId="10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0" fontId="17" fillId="0" borderId="0" xfId="0" applyFont="1"/>
    <xf numFmtId="0" fontId="17" fillId="3" borderId="3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</cellXfs>
  <cellStyles count="2">
    <cellStyle name="Normal" xfId="0" builtinId="0"/>
    <cellStyle name="Normal 2" xfId="1" xr:uid="{4433B579-2F9A-4457-89D3-A9FA788052BE}"/>
  </cellStyles>
  <dxfs count="41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C-70: Aroma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071101082932299"/>
          <c:y val="0.2416418209143025"/>
          <c:w val="0.62194485740175087"/>
          <c:h val="0.72547127837624625"/>
        </c:manualLayout>
      </c:layout>
      <c:radarChart>
        <c:radarStyle val="marker"/>
        <c:varyColors val="0"/>
        <c:ser>
          <c:idx val="0"/>
          <c:order val="0"/>
          <c:tx>
            <c:strRef>
              <c:f>'Muestra 1'!$B$2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'Muestra 1'!$B$4:$B$12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4-4427-9997-8BB043AE2793}"/>
            </c:ext>
          </c:extLst>
        </c:ser>
        <c:ser>
          <c:idx val="1"/>
          <c:order val="1"/>
          <c:tx>
            <c:strRef>
              <c:f>'Muestra 1'!$C$2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1'!$C$4:$C$12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4-4427-9997-8BB043AE2793}"/>
            </c:ext>
          </c:extLst>
        </c:ser>
        <c:ser>
          <c:idx val="2"/>
          <c:order val="2"/>
          <c:tx>
            <c:strRef>
              <c:f>'Muestra 1'!$D$2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1'!$D$4:$D$12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94-4427-9997-8BB043AE2793}"/>
            </c:ext>
          </c:extLst>
        </c:ser>
        <c:ser>
          <c:idx val="3"/>
          <c:order val="3"/>
          <c:tx>
            <c:strRef>
              <c:f>'Muestra 1'!$E$2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1'!$E$4:$E$12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94-4427-9997-8BB043AE2793}"/>
            </c:ext>
          </c:extLst>
        </c:ser>
        <c:ser>
          <c:idx val="4"/>
          <c:order val="4"/>
          <c:tx>
            <c:strRef>
              <c:f>'Muestra 1'!$F$2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1'!$F$4:$F$12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94-4427-9997-8BB043AE2793}"/>
            </c:ext>
          </c:extLst>
        </c:ser>
        <c:ser>
          <c:idx val="5"/>
          <c:order val="5"/>
          <c:tx>
            <c:strRef>
              <c:f>'Muestra 1'!$G$2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1'!$G$4:$G$12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94-4427-9997-8BB043AE2793}"/>
            </c:ext>
          </c:extLst>
        </c:ser>
        <c:ser>
          <c:idx val="6"/>
          <c:order val="6"/>
          <c:tx>
            <c:strRef>
              <c:f>'Muestra 1'!$H$2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1'!$H$4:$H$12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94-4427-9997-8BB043AE2793}"/>
            </c:ext>
          </c:extLst>
        </c:ser>
        <c:ser>
          <c:idx val="7"/>
          <c:order val="7"/>
          <c:tx>
            <c:strRef>
              <c:f>'Muestra 1'!$I$2</c:f>
              <c:strCache>
                <c:ptCount val="1"/>
                <c:pt idx="0">
                  <c:v>Juan Fco Miqurl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1'!$I$4:$I$12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E94-4427-9997-8BB043AE2793}"/>
            </c:ext>
          </c:extLst>
        </c:ser>
        <c:ser>
          <c:idx val="8"/>
          <c:order val="8"/>
          <c:tx>
            <c:strRef>
              <c:f>'Muestra 1'!$J$2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1'!$J$4:$J$12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94-4427-9997-8BB043AE2793}"/>
            </c:ext>
          </c:extLst>
        </c:ser>
        <c:ser>
          <c:idx val="9"/>
          <c:order val="9"/>
          <c:tx>
            <c:strRef>
              <c:f>'Muestra 1'!$K$2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1'!$K$4:$K$12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94-4427-9997-8BB043AE2793}"/>
            </c:ext>
          </c:extLst>
        </c:ser>
        <c:ser>
          <c:idx val="10"/>
          <c:order val="10"/>
          <c:tx>
            <c:strRef>
              <c:f>'Muestra 1'!$L$2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1'!$L$4:$L$12</c:f>
              <c:numCache>
                <c:formatCode>0.0</c:formatCode>
                <c:ptCount val="9"/>
                <c:pt idx="0">
                  <c:v>1.9</c:v>
                </c:pt>
                <c:pt idx="1">
                  <c:v>2.2999999999999998</c:v>
                </c:pt>
                <c:pt idx="2">
                  <c:v>1.8</c:v>
                </c:pt>
                <c:pt idx="3">
                  <c:v>2.8</c:v>
                </c:pt>
                <c:pt idx="4">
                  <c:v>1.4</c:v>
                </c:pt>
                <c:pt idx="5">
                  <c:v>1.4</c:v>
                </c:pt>
                <c:pt idx="6">
                  <c:v>2.4</c:v>
                </c:pt>
                <c:pt idx="7">
                  <c:v>2.6</c:v>
                </c:pt>
                <c:pt idx="8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94-4427-9997-8BB043AE2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300752"/>
        <c:axId val="1583297872"/>
      </c:radarChart>
      <c:catAx>
        <c:axId val="1583300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3297872"/>
        <c:crosses val="autoZero"/>
        <c:auto val="1"/>
        <c:lblAlgn val="ctr"/>
        <c:lblOffset val="100"/>
        <c:noMultiLvlLbl val="0"/>
      </c:catAx>
      <c:valAx>
        <c:axId val="15832978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33007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9189954524681804E-2"/>
          <c:y val="6.8815199108488129E-2"/>
          <c:w val="0.92523888031645662"/>
          <c:h val="0.125156411080457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C70: Sabor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1'!$B$2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1'!$B$15:$B$23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F-4924-ACCF-6CA55B0B12D8}"/>
            </c:ext>
          </c:extLst>
        </c:ser>
        <c:ser>
          <c:idx val="1"/>
          <c:order val="1"/>
          <c:tx>
            <c:strRef>
              <c:f>'Muestra 1'!$C$2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1'!$C$15:$C$23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F-4924-ACCF-6CA55B0B12D8}"/>
            </c:ext>
          </c:extLst>
        </c:ser>
        <c:ser>
          <c:idx val="2"/>
          <c:order val="2"/>
          <c:tx>
            <c:strRef>
              <c:f>'Muestra 1'!$D$2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1'!$D$15:$D$23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F-4924-ACCF-6CA55B0B12D8}"/>
            </c:ext>
          </c:extLst>
        </c:ser>
        <c:ser>
          <c:idx val="3"/>
          <c:order val="3"/>
          <c:tx>
            <c:strRef>
              <c:f>'Muestra 1'!$E$2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1'!$E$15:$E$23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6F-4924-ACCF-6CA55B0B12D8}"/>
            </c:ext>
          </c:extLst>
        </c:ser>
        <c:ser>
          <c:idx val="4"/>
          <c:order val="4"/>
          <c:tx>
            <c:strRef>
              <c:f>'Muestra 1'!$F$2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1'!$F$15:$F$23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6F-4924-ACCF-6CA55B0B12D8}"/>
            </c:ext>
          </c:extLst>
        </c:ser>
        <c:ser>
          <c:idx val="5"/>
          <c:order val="5"/>
          <c:tx>
            <c:strRef>
              <c:f>'Muestra 1'!$G$2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1'!$G$15:$G$23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86F-4924-ACCF-6CA55B0B12D8}"/>
            </c:ext>
          </c:extLst>
        </c:ser>
        <c:ser>
          <c:idx val="6"/>
          <c:order val="6"/>
          <c:tx>
            <c:strRef>
              <c:f>'Muestra 1'!$H$2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1'!$H$15:$H$23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6F-4924-ACCF-6CA55B0B12D8}"/>
            </c:ext>
          </c:extLst>
        </c:ser>
        <c:ser>
          <c:idx val="7"/>
          <c:order val="7"/>
          <c:tx>
            <c:strRef>
              <c:f>'Muestra 1'!$I$2</c:f>
              <c:strCache>
                <c:ptCount val="1"/>
                <c:pt idx="0">
                  <c:v>Juan Fco Miqurl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1'!$I$15:$I$23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6F-4924-ACCF-6CA55B0B12D8}"/>
            </c:ext>
          </c:extLst>
        </c:ser>
        <c:ser>
          <c:idx val="8"/>
          <c:order val="8"/>
          <c:tx>
            <c:strRef>
              <c:f>'Muestra 1'!$J$2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1'!$J$15:$J$23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6F-4924-ACCF-6CA55B0B12D8}"/>
            </c:ext>
          </c:extLst>
        </c:ser>
        <c:ser>
          <c:idx val="9"/>
          <c:order val="9"/>
          <c:tx>
            <c:strRef>
              <c:f>'Muestra 1'!$K$2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1'!$K$15:$K$23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6F-4924-ACCF-6CA55B0B12D8}"/>
            </c:ext>
          </c:extLst>
        </c:ser>
        <c:ser>
          <c:idx val="10"/>
          <c:order val="10"/>
          <c:tx>
            <c:strRef>
              <c:f>'Muestra 1'!$L$2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1'!$L$15:$L$23</c:f>
              <c:numCache>
                <c:formatCode>0.0</c:formatCode>
                <c:ptCount val="9"/>
                <c:pt idx="0">
                  <c:v>2.1</c:v>
                </c:pt>
                <c:pt idx="1">
                  <c:v>1.9</c:v>
                </c:pt>
                <c:pt idx="2">
                  <c:v>1.6</c:v>
                </c:pt>
                <c:pt idx="3">
                  <c:v>2.4</c:v>
                </c:pt>
                <c:pt idx="4">
                  <c:v>1.6</c:v>
                </c:pt>
                <c:pt idx="5">
                  <c:v>2.5</c:v>
                </c:pt>
                <c:pt idx="6">
                  <c:v>2.2000000000000002</c:v>
                </c:pt>
                <c:pt idx="7">
                  <c:v>2.1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6F-4924-ACCF-6CA55B0B1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71248"/>
        <c:axId val="154666448"/>
      </c:radarChart>
      <c:catAx>
        <c:axId val="154671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666448"/>
        <c:crosses val="autoZero"/>
        <c:auto val="1"/>
        <c:lblAlgn val="ctr"/>
        <c:lblOffset val="100"/>
        <c:noMultiLvlLbl val="0"/>
      </c:catAx>
      <c:valAx>
        <c:axId val="1546664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6712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1 C-70:Regusto_equilibrio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1'!$B$2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1'!$B$24:$B$29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9-4ACF-8BC1-98C5CC70B2B4}"/>
            </c:ext>
          </c:extLst>
        </c:ser>
        <c:ser>
          <c:idx val="1"/>
          <c:order val="1"/>
          <c:tx>
            <c:strRef>
              <c:f>'Muestra 1'!$C$2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1'!$C$24:$C$29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9-4ACF-8BC1-98C5CC70B2B4}"/>
            </c:ext>
          </c:extLst>
        </c:ser>
        <c:ser>
          <c:idx val="2"/>
          <c:order val="2"/>
          <c:tx>
            <c:strRef>
              <c:f>'Muestra 1'!$D$2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1'!$D$24:$D$29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E9-4ACF-8BC1-98C5CC70B2B4}"/>
            </c:ext>
          </c:extLst>
        </c:ser>
        <c:ser>
          <c:idx val="3"/>
          <c:order val="3"/>
          <c:tx>
            <c:strRef>
              <c:f>'Muestra 1'!$E$2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1'!$E$24:$E$29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E9-4ACF-8BC1-98C5CC70B2B4}"/>
            </c:ext>
          </c:extLst>
        </c:ser>
        <c:ser>
          <c:idx val="4"/>
          <c:order val="4"/>
          <c:tx>
            <c:strRef>
              <c:f>'Muestra 1'!$F$2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1'!$F$24:$F$29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E9-4ACF-8BC1-98C5CC70B2B4}"/>
            </c:ext>
          </c:extLst>
        </c:ser>
        <c:ser>
          <c:idx val="5"/>
          <c:order val="5"/>
          <c:tx>
            <c:strRef>
              <c:f>'Muestra 1'!$G$2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1'!$G$24:$G$29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E9-4ACF-8BC1-98C5CC70B2B4}"/>
            </c:ext>
          </c:extLst>
        </c:ser>
        <c:ser>
          <c:idx val="6"/>
          <c:order val="6"/>
          <c:tx>
            <c:strRef>
              <c:f>'Muestra 1'!$H$2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1'!$H$24:$H$29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9-4ACF-8BC1-98C5CC70B2B4}"/>
            </c:ext>
          </c:extLst>
        </c:ser>
        <c:ser>
          <c:idx val="7"/>
          <c:order val="7"/>
          <c:tx>
            <c:strRef>
              <c:f>'Muestra 1'!$I$2</c:f>
              <c:strCache>
                <c:ptCount val="1"/>
                <c:pt idx="0">
                  <c:v>Juan Fco Miqurl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1'!$I$24:$I$29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E9-4ACF-8BC1-98C5CC70B2B4}"/>
            </c:ext>
          </c:extLst>
        </c:ser>
        <c:ser>
          <c:idx val="8"/>
          <c:order val="8"/>
          <c:tx>
            <c:strRef>
              <c:f>'Muestra 1'!$J$2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1'!$J$24:$J$29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E9-4ACF-8BC1-98C5CC70B2B4}"/>
            </c:ext>
          </c:extLst>
        </c:ser>
        <c:ser>
          <c:idx val="9"/>
          <c:order val="9"/>
          <c:tx>
            <c:strRef>
              <c:f>'Muestra 1'!$K$2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1'!$K$24:$K$29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E9-4ACF-8BC1-98C5CC70B2B4}"/>
            </c:ext>
          </c:extLst>
        </c:ser>
        <c:ser>
          <c:idx val="10"/>
          <c:order val="10"/>
          <c:tx>
            <c:strRef>
              <c:f>'Muestra 1'!$L$2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1'!$L$24:$L$29</c:f>
              <c:numCache>
                <c:formatCode>0.0</c:formatCode>
                <c:ptCount val="6"/>
                <c:pt idx="0">
                  <c:v>3.1</c:v>
                </c:pt>
                <c:pt idx="1">
                  <c:v>2.1</c:v>
                </c:pt>
                <c:pt idx="2">
                  <c:v>2.4</c:v>
                </c:pt>
                <c:pt idx="3">
                  <c:v>2.6</c:v>
                </c:pt>
                <c:pt idx="4">
                  <c:v>2.9</c:v>
                </c:pt>
                <c:pt idx="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E9-4ACF-8BC1-98C5CC70B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668512"/>
        <c:axId val="1588667552"/>
      </c:radarChart>
      <c:catAx>
        <c:axId val="15886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8667552"/>
        <c:crosses val="autoZero"/>
        <c:auto val="1"/>
        <c:lblAlgn val="ctr"/>
        <c:lblOffset val="100"/>
        <c:noMultiLvlLbl val="0"/>
      </c:catAx>
      <c:valAx>
        <c:axId val="15886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866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2 B1: Aroma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2'!$B$2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2'!$B$4:$B$12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2-4DBC-88AE-AADD50567E8C}"/>
            </c:ext>
          </c:extLst>
        </c:ser>
        <c:ser>
          <c:idx val="1"/>
          <c:order val="1"/>
          <c:tx>
            <c:strRef>
              <c:f>'Muestra 2'!$C$2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2'!$C$4:$C$12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2-4DBC-88AE-AADD50567E8C}"/>
            </c:ext>
          </c:extLst>
        </c:ser>
        <c:ser>
          <c:idx val="2"/>
          <c:order val="2"/>
          <c:tx>
            <c:strRef>
              <c:f>'Muestra 2'!$D$2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2'!$D$4:$D$12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2-4DBC-88AE-AADD50567E8C}"/>
            </c:ext>
          </c:extLst>
        </c:ser>
        <c:ser>
          <c:idx val="3"/>
          <c:order val="3"/>
          <c:tx>
            <c:strRef>
              <c:f>'Muestra 2'!$E$2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2'!$E$4:$E$12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2-4DBC-88AE-AADD50567E8C}"/>
            </c:ext>
          </c:extLst>
        </c:ser>
        <c:ser>
          <c:idx val="4"/>
          <c:order val="4"/>
          <c:tx>
            <c:strRef>
              <c:f>'Muestra 2'!$F$2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2'!$F$4:$F$12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2-4DBC-88AE-AADD50567E8C}"/>
            </c:ext>
          </c:extLst>
        </c:ser>
        <c:ser>
          <c:idx val="5"/>
          <c:order val="5"/>
          <c:tx>
            <c:strRef>
              <c:f>'Muestra 2'!$G$2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2'!$G$4:$G$12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52-4DBC-88AE-AADD50567E8C}"/>
            </c:ext>
          </c:extLst>
        </c:ser>
        <c:ser>
          <c:idx val="6"/>
          <c:order val="6"/>
          <c:tx>
            <c:strRef>
              <c:f>'Muestra 2'!$H$2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2'!$H$4:$H$12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2-4DBC-88AE-AADD50567E8C}"/>
            </c:ext>
          </c:extLst>
        </c:ser>
        <c:ser>
          <c:idx val="7"/>
          <c:order val="7"/>
          <c:tx>
            <c:strRef>
              <c:f>'Muestra 2'!$I$2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2'!$I$4:$I$12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52-4DBC-88AE-AADD50567E8C}"/>
            </c:ext>
          </c:extLst>
        </c:ser>
        <c:ser>
          <c:idx val="8"/>
          <c:order val="8"/>
          <c:tx>
            <c:strRef>
              <c:f>'Muestra 2'!$J$2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2'!$J$4:$J$12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52-4DBC-88AE-AADD50567E8C}"/>
            </c:ext>
          </c:extLst>
        </c:ser>
        <c:ser>
          <c:idx val="9"/>
          <c:order val="9"/>
          <c:tx>
            <c:strRef>
              <c:f>'Muestra 2'!$K$2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2'!$K$4:$K$12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52-4DBC-88AE-AADD50567E8C}"/>
            </c:ext>
          </c:extLst>
        </c:ser>
        <c:ser>
          <c:idx val="10"/>
          <c:order val="10"/>
          <c:tx>
            <c:strRef>
              <c:f>'Muestra 2'!$L$2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2'!$L$4:$L$12</c:f>
              <c:numCache>
                <c:formatCode>0.0</c:formatCode>
                <c:ptCount val="9"/>
                <c:pt idx="0">
                  <c:v>2.5</c:v>
                </c:pt>
                <c:pt idx="1">
                  <c:v>1.9</c:v>
                </c:pt>
                <c:pt idx="2">
                  <c:v>1.5</c:v>
                </c:pt>
                <c:pt idx="3">
                  <c:v>2.4</c:v>
                </c:pt>
                <c:pt idx="4">
                  <c:v>1.6</c:v>
                </c:pt>
                <c:pt idx="5">
                  <c:v>1.5</c:v>
                </c:pt>
                <c:pt idx="6">
                  <c:v>3</c:v>
                </c:pt>
                <c:pt idx="7">
                  <c:v>2.5</c:v>
                </c:pt>
                <c:pt idx="8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52-4DBC-88AE-AADD50567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67664"/>
        <c:axId val="150666224"/>
      </c:radarChart>
      <c:catAx>
        <c:axId val="15066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6224"/>
        <c:crosses val="autoZero"/>
        <c:auto val="1"/>
        <c:lblAlgn val="ctr"/>
        <c:lblOffset val="100"/>
        <c:noMultiLvlLbl val="0"/>
      </c:catAx>
      <c:valAx>
        <c:axId val="15066622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6676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3680804567925976E-2"/>
          <c:y val="0.12672629565019858"/>
          <c:w val="0.90438073939857733"/>
          <c:h val="0.143832757353330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2 B1 : Sabor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2'!$B$2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2'!$B$15:$B$23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5-4695-9428-C2527D44913F}"/>
            </c:ext>
          </c:extLst>
        </c:ser>
        <c:ser>
          <c:idx val="1"/>
          <c:order val="1"/>
          <c:tx>
            <c:strRef>
              <c:f>'Muestra 2'!$C$2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2'!$C$15:$C$23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5-4695-9428-C2527D44913F}"/>
            </c:ext>
          </c:extLst>
        </c:ser>
        <c:ser>
          <c:idx val="2"/>
          <c:order val="2"/>
          <c:tx>
            <c:strRef>
              <c:f>'Muestra 2'!$D$2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2'!$D$15:$D$23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C5-4695-9428-C2527D44913F}"/>
            </c:ext>
          </c:extLst>
        </c:ser>
        <c:ser>
          <c:idx val="3"/>
          <c:order val="3"/>
          <c:tx>
            <c:strRef>
              <c:f>'Muestra 2'!$E$2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2'!$E$15:$E$23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C5-4695-9428-C2527D44913F}"/>
            </c:ext>
          </c:extLst>
        </c:ser>
        <c:ser>
          <c:idx val="4"/>
          <c:order val="4"/>
          <c:tx>
            <c:strRef>
              <c:f>'Muestra 2'!$F$2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2'!$F$15:$F$23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C5-4695-9428-C2527D44913F}"/>
            </c:ext>
          </c:extLst>
        </c:ser>
        <c:ser>
          <c:idx val="5"/>
          <c:order val="5"/>
          <c:tx>
            <c:strRef>
              <c:f>'Muestra 2'!$G$2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2'!$G$15:$G$23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C5-4695-9428-C2527D44913F}"/>
            </c:ext>
          </c:extLst>
        </c:ser>
        <c:ser>
          <c:idx val="6"/>
          <c:order val="6"/>
          <c:tx>
            <c:strRef>
              <c:f>'Muestra 2'!$H$2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2'!$H$15:$H$23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C5-4695-9428-C2527D44913F}"/>
            </c:ext>
          </c:extLst>
        </c:ser>
        <c:ser>
          <c:idx val="7"/>
          <c:order val="7"/>
          <c:tx>
            <c:strRef>
              <c:f>'Muestra 2'!$I$2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2'!$I$15:$I$23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C5-4695-9428-C2527D44913F}"/>
            </c:ext>
          </c:extLst>
        </c:ser>
        <c:ser>
          <c:idx val="8"/>
          <c:order val="8"/>
          <c:tx>
            <c:strRef>
              <c:f>'Muestra 2'!$J$2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2'!$J$15:$J$23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C5-4695-9428-C2527D44913F}"/>
            </c:ext>
          </c:extLst>
        </c:ser>
        <c:ser>
          <c:idx val="9"/>
          <c:order val="9"/>
          <c:tx>
            <c:strRef>
              <c:f>'Muestra 2'!$K$2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2'!$K$15:$K$23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C5-4695-9428-C2527D44913F}"/>
            </c:ext>
          </c:extLst>
        </c:ser>
        <c:ser>
          <c:idx val="10"/>
          <c:order val="10"/>
          <c:tx>
            <c:strRef>
              <c:f>'Muestra 2'!$L$2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2'!$L$15:$L$23</c:f>
              <c:numCache>
                <c:formatCode>0.0</c:formatCode>
                <c:ptCount val="9"/>
                <c:pt idx="0">
                  <c:v>2.6</c:v>
                </c:pt>
                <c:pt idx="1">
                  <c:v>1.8</c:v>
                </c:pt>
                <c:pt idx="2">
                  <c:v>1.9</c:v>
                </c:pt>
                <c:pt idx="3">
                  <c:v>2.8</c:v>
                </c:pt>
                <c:pt idx="4">
                  <c:v>1.7</c:v>
                </c:pt>
                <c:pt idx="5">
                  <c:v>2.9</c:v>
                </c:pt>
                <c:pt idx="6">
                  <c:v>2.4</c:v>
                </c:pt>
                <c:pt idx="7">
                  <c:v>2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C5-4695-9428-C2527D449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28272"/>
        <c:axId val="122426352"/>
      </c:radarChart>
      <c:catAx>
        <c:axId val="12242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426352"/>
        <c:crosses val="autoZero"/>
        <c:auto val="1"/>
        <c:lblAlgn val="ctr"/>
        <c:lblOffset val="100"/>
        <c:noMultiLvlLbl val="0"/>
      </c:catAx>
      <c:valAx>
        <c:axId val="12242635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4282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2 B1: Final_regusto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2'!$B$2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2'!$B$24:$B$29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34-434E-BDE4-AE8CE242B3BD}"/>
            </c:ext>
          </c:extLst>
        </c:ser>
        <c:ser>
          <c:idx val="1"/>
          <c:order val="1"/>
          <c:tx>
            <c:strRef>
              <c:f>'Muestra 2'!$C$2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2'!$C$24:$C$29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34-434E-BDE4-AE8CE242B3BD}"/>
            </c:ext>
          </c:extLst>
        </c:ser>
        <c:ser>
          <c:idx val="2"/>
          <c:order val="2"/>
          <c:tx>
            <c:strRef>
              <c:f>'Muestra 2'!$D$2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2'!$D$24:$D$29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34-434E-BDE4-AE8CE242B3BD}"/>
            </c:ext>
          </c:extLst>
        </c:ser>
        <c:ser>
          <c:idx val="3"/>
          <c:order val="3"/>
          <c:tx>
            <c:strRef>
              <c:f>'Muestra 2'!$E$2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2'!$E$24:$E$29</c:f>
              <c:numCache>
                <c:formatCode>General</c:formatCode>
                <c:ptCount val="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34-434E-BDE4-AE8CE242B3BD}"/>
            </c:ext>
          </c:extLst>
        </c:ser>
        <c:ser>
          <c:idx val="4"/>
          <c:order val="4"/>
          <c:tx>
            <c:strRef>
              <c:f>'Muestra 2'!$F$2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2'!$F$24:$F$29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34-434E-BDE4-AE8CE242B3BD}"/>
            </c:ext>
          </c:extLst>
        </c:ser>
        <c:ser>
          <c:idx val="5"/>
          <c:order val="5"/>
          <c:tx>
            <c:strRef>
              <c:f>'Muestra 2'!$G$2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2'!$G$24:$G$29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34-434E-BDE4-AE8CE242B3BD}"/>
            </c:ext>
          </c:extLst>
        </c:ser>
        <c:ser>
          <c:idx val="6"/>
          <c:order val="6"/>
          <c:tx>
            <c:strRef>
              <c:f>'Muestra 2'!$H$2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2'!$H$24:$H$29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34-434E-BDE4-AE8CE242B3BD}"/>
            </c:ext>
          </c:extLst>
        </c:ser>
        <c:ser>
          <c:idx val="7"/>
          <c:order val="7"/>
          <c:tx>
            <c:strRef>
              <c:f>'Muestra 2'!$I$2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2'!$I$24:$I$29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34-434E-BDE4-AE8CE242B3BD}"/>
            </c:ext>
          </c:extLst>
        </c:ser>
        <c:ser>
          <c:idx val="8"/>
          <c:order val="8"/>
          <c:tx>
            <c:strRef>
              <c:f>'Muestra 2'!$J$2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2'!$J$24:$J$29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34-434E-BDE4-AE8CE242B3BD}"/>
            </c:ext>
          </c:extLst>
        </c:ser>
        <c:ser>
          <c:idx val="9"/>
          <c:order val="9"/>
          <c:tx>
            <c:strRef>
              <c:f>'Muestra 2'!$K$2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2'!$K$24:$K$29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34-434E-BDE4-AE8CE242B3BD}"/>
            </c:ext>
          </c:extLst>
        </c:ser>
        <c:ser>
          <c:idx val="10"/>
          <c:order val="10"/>
          <c:tx>
            <c:strRef>
              <c:f>'Muestra 2'!$L$2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2'!$L$24:$L$29</c:f>
              <c:numCache>
                <c:formatCode>0.0</c:formatCode>
                <c:ptCount val="6"/>
                <c:pt idx="0">
                  <c:v>3.3</c:v>
                </c:pt>
                <c:pt idx="1">
                  <c:v>2.1</c:v>
                </c:pt>
                <c:pt idx="2">
                  <c:v>2.8</c:v>
                </c:pt>
                <c:pt idx="3">
                  <c:v>2.7</c:v>
                </c:pt>
                <c:pt idx="4">
                  <c:v>3.2</c:v>
                </c:pt>
                <c:pt idx="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34-434E-BDE4-AE8CE242B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40992"/>
        <c:axId val="113437632"/>
      </c:radarChart>
      <c:catAx>
        <c:axId val="1134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437632"/>
        <c:crosses val="autoZero"/>
        <c:auto val="1"/>
        <c:lblAlgn val="ctr"/>
        <c:lblOffset val="100"/>
        <c:noMultiLvlLbl val="0"/>
      </c:catAx>
      <c:valAx>
        <c:axId val="11343763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34409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3  H76: Aroma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3'!$B$2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3'!$B$4:$B$12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F-4BAC-BEEF-F799D2CFE448}"/>
            </c:ext>
          </c:extLst>
        </c:ser>
        <c:ser>
          <c:idx val="1"/>
          <c:order val="1"/>
          <c:tx>
            <c:strRef>
              <c:f>'Muestra 3'!$C$2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3'!$C$4:$C$12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4F-4BAC-BEEF-F799D2CFE448}"/>
            </c:ext>
          </c:extLst>
        </c:ser>
        <c:ser>
          <c:idx val="2"/>
          <c:order val="2"/>
          <c:tx>
            <c:strRef>
              <c:f>'Muestra 3'!$D$2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3'!$D$4:$D$12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F-4BAC-BEEF-F799D2CFE448}"/>
            </c:ext>
          </c:extLst>
        </c:ser>
        <c:ser>
          <c:idx val="3"/>
          <c:order val="3"/>
          <c:tx>
            <c:strRef>
              <c:f>'Muestra 3'!$E$2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3'!$E$4:$E$12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4F-4BAC-BEEF-F799D2CFE448}"/>
            </c:ext>
          </c:extLst>
        </c:ser>
        <c:ser>
          <c:idx val="4"/>
          <c:order val="4"/>
          <c:tx>
            <c:strRef>
              <c:f>'Muestra 3'!$F$2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3'!$F$4:$F$12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4F-4BAC-BEEF-F799D2CFE448}"/>
            </c:ext>
          </c:extLst>
        </c:ser>
        <c:ser>
          <c:idx val="5"/>
          <c:order val="5"/>
          <c:tx>
            <c:strRef>
              <c:f>'Muestra 3'!$G$2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3'!$G$4:$G$12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4F-4BAC-BEEF-F799D2CFE448}"/>
            </c:ext>
          </c:extLst>
        </c:ser>
        <c:ser>
          <c:idx val="6"/>
          <c:order val="6"/>
          <c:tx>
            <c:strRef>
              <c:f>'Muestra 3'!$H$2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3'!$H$4:$H$12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F-4BAC-BEEF-F799D2CFE448}"/>
            </c:ext>
          </c:extLst>
        </c:ser>
        <c:ser>
          <c:idx val="7"/>
          <c:order val="7"/>
          <c:tx>
            <c:strRef>
              <c:f>'Muestra 3'!$I$2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3'!$I$4:$I$12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4F-4BAC-BEEF-F799D2CFE448}"/>
            </c:ext>
          </c:extLst>
        </c:ser>
        <c:ser>
          <c:idx val="8"/>
          <c:order val="8"/>
          <c:tx>
            <c:strRef>
              <c:f>'Muestra 3'!$J$2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3'!$J$4:$J$12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4F-4BAC-BEEF-F799D2CFE448}"/>
            </c:ext>
          </c:extLst>
        </c:ser>
        <c:ser>
          <c:idx val="9"/>
          <c:order val="9"/>
          <c:tx>
            <c:strRef>
              <c:f>'Muestra 3'!$K$2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3'!$K$4:$K$12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4F-4BAC-BEEF-F799D2CFE448}"/>
            </c:ext>
          </c:extLst>
        </c:ser>
        <c:ser>
          <c:idx val="10"/>
          <c:order val="10"/>
          <c:tx>
            <c:strRef>
              <c:f>'Muestra 3'!$L$2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3'!$L$4:$L$12</c:f>
              <c:numCache>
                <c:formatCode>0.0</c:formatCode>
                <c:ptCount val="9"/>
                <c:pt idx="0">
                  <c:v>2.6</c:v>
                </c:pt>
                <c:pt idx="1">
                  <c:v>2.1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1.6</c:v>
                </c:pt>
                <c:pt idx="6">
                  <c:v>3</c:v>
                </c:pt>
                <c:pt idx="7">
                  <c:v>2.4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4F-4BAC-BEEF-F799D2CF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2512"/>
        <c:axId val="122290592"/>
      </c:radarChart>
      <c:catAx>
        <c:axId val="1222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290592"/>
        <c:crosses val="autoZero"/>
        <c:auto val="1"/>
        <c:lblAlgn val="ctr"/>
        <c:lblOffset val="100"/>
        <c:noMultiLvlLbl val="0"/>
      </c:catAx>
      <c:valAx>
        <c:axId val="12229059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22925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</a:t>
            </a:r>
            <a:r>
              <a:rPr lang="es-CL" baseline="0"/>
              <a:t> 3 H76: Sabor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3'!$B$2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3'!$B$15:$B$23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5-4139-9E75-A27FB03A8E82}"/>
            </c:ext>
          </c:extLst>
        </c:ser>
        <c:ser>
          <c:idx val="1"/>
          <c:order val="1"/>
          <c:tx>
            <c:strRef>
              <c:f>'Muestra 3'!$C$2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3'!$C$15:$C$23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5-4139-9E75-A27FB03A8E82}"/>
            </c:ext>
          </c:extLst>
        </c:ser>
        <c:ser>
          <c:idx val="2"/>
          <c:order val="2"/>
          <c:tx>
            <c:strRef>
              <c:f>'Muestra 3'!$D$2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3'!$D$15:$D$23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1.5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45-4139-9E75-A27FB03A8E82}"/>
            </c:ext>
          </c:extLst>
        </c:ser>
        <c:ser>
          <c:idx val="3"/>
          <c:order val="3"/>
          <c:tx>
            <c:strRef>
              <c:f>'Muestra 3'!$E$2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3'!$E$15:$E$23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45-4139-9E75-A27FB03A8E82}"/>
            </c:ext>
          </c:extLst>
        </c:ser>
        <c:ser>
          <c:idx val="4"/>
          <c:order val="4"/>
          <c:tx>
            <c:strRef>
              <c:f>'Muestra 3'!$F$2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3'!$F$15:$F$23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45-4139-9E75-A27FB03A8E82}"/>
            </c:ext>
          </c:extLst>
        </c:ser>
        <c:ser>
          <c:idx val="5"/>
          <c:order val="5"/>
          <c:tx>
            <c:strRef>
              <c:f>'Muestra 3'!$G$2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3'!$G$15:$G$23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45-4139-9E75-A27FB03A8E82}"/>
            </c:ext>
          </c:extLst>
        </c:ser>
        <c:ser>
          <c:idx val="6"/>
          <c:order val="6"/>
          <c:tx>
            <c:strRef>
              <c:f>'Muestra 3'!$H$2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3'!$H$15:$H$23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45-4139-9E75-A27FB03A8E82}"/>
            </c:ext>
          </c:extLst>
        </c:ser>
        <c:ser>
          <c:idx val="7"/>
          <c:order val="7"/>
          <c:tx>
            <c:strRef>
              <c:f>'Muestra 3'!$I$2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3'!$I$15:$I$23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45-4139-9E75-A27FB03A8E82}"/>
            </c:ext>
          </c:extLst>
        </c:ser>
        <c:ser>
          <c:idx val="8"/>
          <c:order val="8"/>
          <c:tx>
            <c:strRef>
              <c:f>'Muestra 3'!$J$2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3'!$J$15:$J$23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45-4139-9E75-A27FB03A8E82}"/>
            </c:ext>
          </c:extLst>
        </c:ser>
        <c:ser>
          <c:idx val="9"/>
          <c:order val="9"/>
          <c:tx>
            <c:strRef>
              <c:f>'Muestra 3'!$K$2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3'!$K$15:$K$23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45-4139-9E75-A27FB03A8E82}"/>
            </c:ext>
          </c:extLst>
        </c:ser>
        <c:ser>
          <c:idx val="10"/>
          <c:order val="10"/>
          <c:tx>
            <c:strRef>
              <c:f>'Muestra 3'!$L$2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3'!$L$15:$L$23</c:f>
              <c:numCache>
                <c:formatCode>0.0</c:formatCode>
                <c:ptCount val="9"/>
                <c:pt idx="0">
                  <c:v>2.5</c:v>
                </c:pt>
                <c:pt idx="1">
                  <c:v>2.1</c:v>
                </c:pt>
                <c:pt idx="2">
                  <c:v>2.4</c:v>
                </c:pt>
                <c:pt idx="3">
                  <c:v>2.7</c:v>
                </c:pt>
                <c:pt idx="4">
                  <c:v>2</c:v>
                </c:pt>
                <c:pt idx="5">
                  <c:v>3.1</c:v>
                </c:pt>
                <c:pt idx="6">
                  <c:v>2.2000000000000002</c:v>
                </c:pt>
                <c:pt idx="7">
                  <c:v>2.0499999999999998</c:v>
                </c:pt>
                <c:pt idx="8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45-4139-9E75-A27FB03A8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5200"/>
        <c:axId val="124061840"/>
      </c:radarChart>
      <c:catAx>
        <c:axId val="12406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061840"/>
        <c:crosses val="autoZero"/>
        <c:auto val="1"/>
        <c:lblAlgn val="ctr"/>
        <c:lblOffset val="100"/>
        <c:noMultiLvlLbl val="0"/>
      </c:catAx>
      <c:valAx>
        <c:axId val="124061840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406520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Muestra 3 H76: Regusto_equilibrio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'Muestra 3'!$B$2</c:f>
              <c:strCache>
                <c:ptCount val="1"/>
                <c:pt idx="0">
                  <c:v>Francisco Cubillos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'Muestra 3'!$B$24:$B$29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2-4DC6-ACA6-D08E0F7A820E}"/>
            </c:ext>
          </c:extLst>
        </c:ser>
        <c:ser>
          <c:idx val="1"/>
          <c:order val="1"/>
          <c:tx>
            <c:strRef>
              <c:f>'Muestra 3'!$C$2</c:f>
              <c:strCache>
                <c:ptCount val="1"/>
                <c:pt idx="0">
                  <c:v>Ignacia Moreno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'Muestra 3'!$C$24:$C$29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2-4DC6-ACA6-D08E0F7A820E}"/>
            </c:ext>
          </c:extLst>
        </c:ser>
        <c:ser>
          <c:idx val="2"/>
          <c:order val="2"/>
          <c:tx>
            <c:strRef>
              <c:f>'Muestra 3'!$D$2</c:f>
              <c:strCache>
                <c:ptCount val="1"/>
                <c:pt idx="0">
                  <c:v>Rodrigo Gutierrez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'Muestra 3'!$D$24:$D$29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22-4DC6-ACA6-D08E0F7A820E}"/>
            </c:ext>
          </c:extLst>
        </c:ser>
        <c:ser>
          <c:idx val="3"/>
          <c:order val="3"/>
          <c:tx>
            <c:strRef>
              <c:f>'Muestra 3'!$E$2</c:f>
              <c:strCache>
                <c:ptCount val="1"/>
                <c:pt idx="0">
                  <c:v>Sol Sánchez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'Muestra 3'!$E$24:$E$29</c:f>
              <c:numCache>
                <c:formatCode>General</c:formatCode>
                <c:ptCount val="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22-4DC6-ACA6-D08E0F7A820E}"/>
            </c:ext>
          </c:extLst>
        </c:ser>
        <c:ser>
          <c:idx val="4"/>
          <c:order val="4"/>
          <c:tx>
            <c:strRef>
              <c:f>'Muestra 3'!$F$2</c:f>
              <c:strCache>
                <c:ptCount val="1"/>
                <c:pt idx="0">
                  <c:v>David Araya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'Muestra 3'!$F$24:$F$29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22-4DC6-ACA6-D08E0F7A820E}"/>
            </c:ext>
          </c:extLst>
        </c:ser>
        <c:ser>
          <c:idx val="5"/>
          <c:order val="5"/>
          <c:tx>
            <c:strRef>
              <c:f>'Muestra 3'!$G$2</c:f>
              <c:strCache>
                <c:ptCount val="1"/>
                <c:pt idx="0">
                  <c:v>Roberto Quiroz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'Muestra 3'!$G$24:$G$29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22-4DC6-ACA6-D08E0F7A820E}"/>
            </c:ext>
          </c:extLst>
        </c:ser>
        <c:ser>
          <c:idx val="6"/>
          <c:order val="6"/>
          <c:tx>
            <c:strRef>
              <c:f>'Muestra 3'!$H$2</c:f>
              <c:strCache>
                <c:ptCount val="1"/>
                <c:pt idx="0">
                  <c:v>Maria Isabel González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3'!$H$24:$H$29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22-4DC6-ACA6-D08E0F7A820E}"/>
            </c:ext>
          </c:extLst>
        </c:ser>
        <c:ser>
          <c:idx val="7"/>
          <c:order val="7"/>
          <c:tx>
            <c:strRef>
              <c:f>'Muestra 3'!$I$2</c:f>
              <c:strCache>
                <c:ptCount val="1"/>
                <c:pt idx="0">
                  <c:v>Juan Fco Miquel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3'!$I$24:$I$29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22-4DC6-ACA6-D08E0F7A820E}"/>
            </c:ext>
          </c:extLst>
        </c:ser>
        <c:ser>
          <c:idx val="8"/>
          <c:order val="8"/>
          <c:tx>
            <c:strRef>
              <c:f>'Muestra 3'!$J$2</c:f>
              <c:strCache>
                <c:ptCount val="1"/>
                <c:pt idx="0">
                  <c:v>Daniel Moscoso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3'!$J$24:$J$29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22-4DC6-ACA6-D08E0F7A820E}"/>
            </c:ext>
          </c:extLst>
        </c:ser>
        <c:ser>
          <c:idx val="9"/>
          <c:order val="9"/>
          <c:tx>
            <c:strRef>
              <c:f>'Muestra 3'!$K$2</c:f>
              <c:strCache>
                <c:ptCount val="1"/>
                <c:pt idx="0">
                  <c:v>Anne  Sperschneider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'Muestra 3'!$K$24:$K$29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3.5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22-4DC6-ACA6-D08E0F7A820E}"/>
            </c:ext>
          </c:extLst>
        </c:ser>
        <c:ser>
          <c:idx val="10"/>
          <c:order val="10"/>
          <c:tx>
            <c:strRef>
              <c:f>'Muestra 3'!$L$2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'Muestra 3'!$L$24:$L$29</c:f>
              <c:numCache>
                <c:formatCode>0.0</c:formatCode>
                <c:ptCount val="6"/>
                <c:pt idx="0">
                  <c:v>3.2</c:v>
                </c:pt>
                <c:pt idx="1">
                  <c:v>2.6</c:v>
                </c:pt>
                <c:pt idx="2">
                  <c:v>2.9</c:v>
                </c:pt>
                <c:pt idx="3">
                  <c:v>3.05</c:v>
                </c:pt>
                <c:pt idx="4">
                  <c:v>3.2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22-4DC6-ACA6-D08E0F7A8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422656"/>
        <c:axId val="305428896"/>
      </c:radarChart>
      <c:catAx>
        <c:axId val="30542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5428896"/>
        <c:crosses val="autoZero"/>
        <c:auto val="1"/>
        <c:lblAlgn val="ctr"/>
        <c:lblOffset val="100"/>
        <c:noMultiLvlLbl val="0"/>
      </c:catAx>
      <c:valAx>
        <c:axId val="30542889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0542265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5823490813648294"/>
          <c:y val="0.12083333333333331"/>
          <c:w val="0.73637630137369625"/>
          <c:h val="0.1830312754905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AROMA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7920844269466316"/>
          <c:y val="0.16025481189851268"/>
          <c:w val="0.40269422572178476"/>
          <c:h val="0.67115704286964128"/>
        </c:manualLayout>
      </c:layout>
      <c:radarChart>
        <c:radarStyle val="marker"/>
        <c:varyColors val="0"/>
        <c:ser>
          <c:idx val="0"/>
          <c:order val="0"/>
          <c:tx>
            <c:strRef>
              <c:f>Levaduras!$B$3</c:f>
              <c:strCache>
                <c:ptCount val="1"/>
                <c:pt idx="0">
                  <c:v>C-70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Levaduras!$A$4:$A$12</c:f>
              <c:strCache>
                <c:ptCount val="9"/>
                <c:pt idx="0">
                  <c:v>aroma_ahumado</c:v>
                </c:pt>
                <c:pt idx="1">
                  <c:v>aroma_medicinal</c:v>
                </c:pt>
                <c:pt idx="2">
                  <c:v>aroma_terroso</c:v>
                </c:pt>
                <c:pt idx="3">
                  <c:v> aroma_amaderado</c:v>
                </c:pt>
                <c:pt idx="4">
                  <c:v>aroma_cafe</c:v>
                </c:pt>
                <c:pt idx="5">
                  <c:v>aroma_otro</c:v>
                </c:pt>
                <c:pt idx="6">
                  <c:v>aroma_frutal</c:v>
                </c:pt>
                <c:pt idx="7">
                  <c:v>aroma_vainilla</c:v>
                </c:pt>
                <c:pt idx="8">
                  <c:v>aroma_cereal</c:v>
                </c:pt>
              </c:strCache>
            </c:strRef>
          </c:cat>
          <c:val>
            <c:numRef>
              <c:f>Levaduras!$B$4:$B$12</c:f>
              <c:numCache>
                <c:formatCode>0.0</c:formatCode>
                <c:ptCount val="9"/>
                <c:pt idx="0">
                  <c:v>1.9</c:v>
                </c:pt>
                <c:pt idx="1">
                  <c:v>2</c:v>
                </c:pt>
                <c:pt idx="2">
                  <c:v>1.5</c:v>
                </c:pt>
                <c:pt idx="3">
                  <c:v>2</c:v>
                </c:pt>
                <c:pt idx="4">
                  <c:v>1.4</c:v>
                </c:pt>
                <c:pt idx="5">
                  <c:v>1.4</c:v>
                </c:pt>
                <c:pt idx="6">
                  <c:v>2.4</c:v>
                </c:pt>
                <c:pt idx="7">
                  <c:v>2.1</c:v>
                </c:pt>
                <c:pt idx="8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3-4B76-807B-EA93FD34086B}"/>
            </c:ext>
          </c:extLst>
        </c:ser>
        <c:ser>
          <c:idx val="1"/>
          <c:order val="1"/>
          <c:tx>
            <c:strRef>
              <c:f>Levaduras!$C$3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Levaduras!$A$4:$A$12</c:f>
              <c:strCache>
                <c:ptCount val="9"/>
                <c:pt idx="0">
                  <c:v>aroma_ahumado</c:v>
                </c:pt>
                <c:pt idx="1">
                  <c:v>aroma_medicinal</c:v>
                </c:pt>
                <c:pt idx="2">
                  <c:v>aroma_terroso</c:v>
                </c:pt>
                <c:pt idx="3">
                  <c:v> aroma_amaderado</c:v>
                </c:pt>
                <c:pt idx="4">
                  <c:v>aroma_cafe</c:v>
                </c:pt>
                <c:pt idx="5">
                  <c:v>aroma_otro</c:v>
                </c:pt>
                <c:pt idx="6">
                  <c:v>aroma_frutal</c:v>
                </c:pt>
                <c:pt idx="7">
                  <c:v>aroma_vainilla</c:v>
                </c:pt>
                <c:pt idx="8">
                  <c:v>aroma_cereal</c:v>
                </c:pt>
              </c:strCache>
            </c:strRef>
          </c:cat>
          <c:val>
            <c:numRef>
              <c:f>Levaduras!$C$4:$C$12</c:f>
              <c:numCache>
                <c:formatCode>General</c:formatCode>
                <c:ptCount val="9"/>
                <c:pt idx="0">
                  <c:v>2.5</c:v>
                </c:pt>
                <c:pt idx="1">
                  <c:v>1.9</c:v>
                </c:pt>
                <c:pt idx="2">
                  <c:v>1.8</c:v>
                </c:pt>
                <c:pt idx="3">
                  <c:v>2.4</c:v>
                </c:pt>
                <c:pt idx="4">
                  <c:v>1.6</c:v>
                </c:pt>
                <c:pt idx="5">
                  <c:v>1.5</c:v>
                </c:pt>
                <c:pt idx="6">
                  <c:v>3</c:v>
                </c:pt>
                <c:pt idx="7">
                  <c:v>2.5</c:v>
                </c:pt>
                <c:pt idx="8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3-4B76-807B-EA93FD34086B}"/>
            </c:ext>
          </c:extLst>
        </c:ser>
        <c:ser>
          <c:idx val="2"/>
          <c:order val="2"/>
          <c:tx>
            <c:strRef>
              <c:f>Levaduras!$D$3</c:f>
              <c:strCache>
                <c:ptCount val="1"/>
                <c:pt idx="0">
                  <c:v>H76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Levaduras!$A$4:$A$12</c:f>
              <c:strCache>
                <c:ptCount val="9"/>
                <c:pt idx="0">
                  <c:v>aroma_ahumado</c:v>
                </c:pt>
                <c:pt idx="1">
                  <c:v>aroma_medicinal</c:v>
                </c:pt>
                <c:pt idx="2">
                  <c:v>aroma_terroso</c:v>
                </c:pt>
                <c:pt idx="3">
                  <c:v> aroma_amaderado</c:v>
                </c:pt>
                <c:pt idx="4">
                  <c:v>aroma_cafe</c:v>
                </c:pt>
                <c:pt idx="5">
                  <c:v>aroma_otro</c:v>
                </c:pt>
                <c:pt idx="6">
                  <c:v>aroma_frutal</c:v>
                </c:pt>
                <c:pt idx="7">
                  <c:v>aroma_vainilla</c:v>
                </c:pt>
                <c:pt idx="8">
                  <c:v>aroma_cereal</c:v>
                </c:pt>
              </c:strCache>
            </c:strRef>
          </c:cat>
          <c:val>
            <c:numRef>
              <c:f>Levaduras!$D$4:$D$12</c:f>
              <c:numCache>
                <c:formatCode>0.0</c:formatCode>
                <c:ptCount val="9"/>
                <c:pt idx="0">
                  <c:v>2.6</c:v>
                </c:pt>
                <c:pt idx="1">
                  <c:v>2.4</c:v>
                </c:pt>
                <c:pt idx="2">
                  <c:v>2</c:v>
                </c:pt>
                <c:pt idx="3">
                  <c:v>2.4</c:v>
                </c:pt>
                <c:pt idx="4">
                  <c:v>1.8</c:v>
                </c:pt>
                <c:pt idx="5">
                  <c:v>1.6</c:v>
                </c:pt>
                <c:pt idx="6">
                  <c:v>3</c:v>
                </c:pt>
                <c:pt idx="7">
                  <c:v>2.4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3-4B76-807B-EA93FD34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301008"/>
        <c:axId val="1577299568"/>
      </c:radarChart>
      <c:catAx>
        <c:axId val="157730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7299568"/>
        <c:crosses val="autoZero"/>
        <c:auto val="1"/>
        <c:lblAlgn val="ctr"/>
        <c:lblOffset val="100"/>
        <c:noMultiLvlLbl val="0"/>
      </c:catAx>
      <c:valAx>
        <c:axId val="15772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730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87344793466534"/>
          <c:y val="5.1729278428249086E-2"/>
          <c:w val="0.11698751406254244"/>
          <c:h val="0.18920980665120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SABOR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9108082755696857"/>
          <c:y val="0.25904093363223984"/>
          <c:w val="0.36644553805774277"/>
          <c:h val="0.61074256342957134"/>
        </c:manualLayout>
      </c:layout>
      <c:radarChart>
        <c:radarStyle val="marker"/>
        <c:varyColors val="0"/>
        <c:ser>
          <c:idx val="0"/>
          <c:order val="0"/>
          <c:tx>
            <c:strRef>
              <c:f>Levaduras!$B$3</c:f>
              <c:strCache>
                <c:ptCount val="1"/>
                <c:pt idx="0">
                  <c:v>C-70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Levaduras!$A$15:$A$23</c:f>
              <c:strCache>
                <c:ptCount val="9"/>
                <c:pt idx="0">
                  <c:v>sabor_ahumado</c:v>
                </c:pt>
                <c:pt idx="1">
                  <c:v>sabor_medicinal</c:v>
                </c:pt>
                <c:pt idx="2">
                  <c:v>sabor_terroso</c:v>
                </c:pt>
                <c:pt idx="3">
                  <c:v>sabor_amaderado</c:v>
                </c:pt>
                <c:pt idx="4">
                  <c:v>sabor_cafe</c:v>
                </c:pt>
                <c:pt idx="5">
                  <c:v>sabor_frutal</c:v>
                </c:pt>
                <c:pt idx="6">
                  <c:v>sabor_vainilla</c:v>
                </c:pt>
                <c:pt idx="7">
                  <c:v>sabor_cereal</c:v>
                </c:pt>
                <c:pt idx="8">
                  <c:v>sabor_sensacion_boca</c:v>
                </c:pt>
              </c:strCache>
            </c:strRef>
          </c:cat>
          <c:val>
            <c:numRef>
              <c:f>Levaduras!$B$15:$B$23</c:f>
              <c:numCache>
                <c:formatCode>0.0</c:formatCode>
                <c:ptCount val="9"/>
                <c:pt idx="0">
                  <c:v>2.1</c:v>
                </c:pt>
                <c:pt idx="1">
                  <c:v>1.9</c:v>
                </c:pt>
                <c:pt idx="2">
                  <c:v>1.6</c:v>
                </c:pt>
                <c:pt idx="3">
                  <c:v>2.4</c:v>
                </c:pt>
                <c:pt idx="4">
                  <c:v>1.6</c:v>
                </c:pt>
                <c:pt idx="5">
                  <c:v>2.5</c:v>
                </c:pt>
                <c:pt idx="6">
                  <c:v>2.2000000000000002</c:v>
                </c:pt>
                <c:pt idx="7">
                  <c:v>2.1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7-4B23-B99B-37E985DE480A}"/>
            </c:ext>
          </c:extLst>
        </c:ser>
        <c:ser>
          <c:idx val="1"/>
          <c:order val="1"/>
          <c:tx>
            <c:strRef>
              <c:f>Levaduras!$C$3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Levaduras!$A$15:$A$23</c:f>
              <c:strCache>
                <c:ptCount val="9"/>
                <c:pt idx="0">
                  <c:v>sabor_ahumado</c:v>
                </c:pt>
                <c:pt idx="1">
                  <c:v>sabor_medicinal</c:v>
                </c:pt>
                <c:pt idx="2">
                  <c:v>sabor_terroso</c:v>
                </c:pt>
                <c:pt idx="3">
                  <c:v>sabor_amaderado</c:v>
                </c:pt>
                <c:pt idx="4">
                  <c:v>sabor_cafe</c:v>
                </c:pt>
                <c:pt idx="5">
                  <c:v>sabor_frutal</c:v>
                </c:pt>
                <c:pt idx="6">
                  <c:v>sabor_vainilla</c:v>
                </c:pt>
                <c:pt idx="7">
                  <c:v>sabor_cereal</c:v>
                </c:pt>
                <c:pt idx="8">
                  <c:v>sabor_sensacion_boca</c:v>
                </c:pt>
              </c:strCache>
            </c:strRef>
          </c:cat>
          <c:val>
            <c:numRef>
              <c:f>Levaduras!$C$15:$C$23</c:f>
              <c:numCache>
                <c:formatCode>General</c:formatCode>
                <c:ptCount val="9"/>
                <c:pt idx="0">
                  <c:v>2.6</c:v>
                </c:pt>
                <c:pt idx="1">
                  <c:v>1.8</c:v>
                </c:pt>
                <c:pt idx="2">
                  <c:v>1.9</c:v>
                </c:pt>
                <c:pt idx="3">
                  <c:v>2.8</c:v>
                </c:pt>
                <c:pt idx="4">
                  <c:v>1.7</c:v>
                </c:pt>
                <c:pt idx="5">
                  <c:v>2.9</c:v>
                </c:pt>
                <c:pt idx="6">
                  <c:v>2.4</c:v>
                </c:pt>
                <c:pt idx="7">
                  <c:v>2</c:v>
                </c:pt>
                <c:pt idx="8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C7-4B23-B99B-37E985DE480A}"/>
            </c:ext>
          </c:extLst>
        </c:ser>
        <c:ser>
          <c:idx val="2"/>
          <c:order val="2"/>
          <c:tx>
            <c:strRef>
              <c:f>Levaduras!$D$3</c:f>
              <c:strCache>
                <c:ptCount val="1"/>
                <c:pt idx="0">
                  <c:v>H76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Levaduras!$A$15:$A$23</c:f>
              <c:strCache>
                <c:ptCount val="9"/>
                <c:pt idx="0">
                  <c:v>sabor_ahumado</c:v>
                </c:pt>
                <c:pt idx="1">
                  <c:v>sabor_medicinal</c:v>
                </c:pt>
                <c:pt idx="2">
                  <c:v>sabor_terroso</c:v>
                </c:pt>
                <c:pt idx="3">
                  <c:v>sabor_amaderado</c:v>
                </c:pt>
                <c:pt idx="4">
                  <c:v>sabor_cafe</c:v>
                </c:pt>
                <c:pt idx="5">
                  <c:v>sabor_frutal</c:v>
                </c:pt>
                <c:pt idx="6">
                  <c:v>sabor_vainilla</c:v>
                </c:pt>
                <c:pt idx="7">
                  <c:v>sabor_cereal</c:v>
                </c:pt>
                <c:pt idx="8">
                  <c:v>sabor_sensacion_boca</c:v>
                </c:pt>
              </c:strCache>
            </c:strRef>
          </c:cat>
          <c:val>
            <c:numRef>
              <c:f>Levaduras!$D$15:$D$23</c:f>
              <c:numCache>
                <c:formatCode>0.0</c:formatCode>
                <c:ptCount val="9"/>
                <c:pt idx="0">
                  <c:v>2.5</c:v>
                </c:pt>
                <c:pt idx="1">
                  <c:v>2.1</c:v>
                </c:pt>
                <c:pt idx="2">
                  <c:v>2.4</c:v>
                </c:pt>
                <c:pt idx="3">
                  <c:v>2.7</c:v>
                </c:pt>
                <c:pt idx="4">
                  <c:v>2</c:v>
                </c:pt>
                <c:pt idx="5">
                  <c:v>3.1</c:v>
                </c:pt>
                <c:pt idx="6">
                  <c:v>2.2000000000000002</c:v>
                </c:pt>
                <c:pt idx="7">
                  <c:v>2.0499999999999998</c:v>
                </c:pt>
                <c:pt idx="8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C7-4B23-B99B-37E985DE4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662752"/>
        <c:axId val="1588664192"/>
      </c:radarChart>
      <c:catAx>
        <c:axId val="15886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8664192"/>
        <c:crosses val="autoZero"/>
        <c:auto val="1"/>
        <c:lblAlgn val="ctr"/>
        <c:lblOffset val="100"/>
        <c:noMultiLvlLbl val="0"/>
      </c:catAx>
      <c:valAx>
        <c:axId val="158866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886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9050432623238709"/>
          <c:y val="4.2702036527935264E-2"/>
          <c:w val="0.17259492398934062"/>
          <c:h val="0.367616029892424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FINAL-REGUSTO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6978780934632396"/>
          <c:y val="0.22708393516079742"/>
          <c:w val="0.36644553805774277"/>
          <c:h val="0.61074256342957134"/>
        </c:manualLayout>
      </c:layout>
      <c:radarChart>
        <c:radarStyle val="marker"/>
        <c:varyColors val="0"/>
        <c:ser>
          <c:idx val="0"/>
          <c:order val="0"/>
          <c:tx>
            <c:strRef>
              <c:f>Levaduras!$B$3</c:f>
              <c:strCache>
                <c:ptCount val="1"/>
                <c:pt idx="0">
                  <c:v>C-70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Levaduras!$A$25:$A$30</c:f>
              <c:strCache>
                <c:ptCount val="6"/>
                <c:pt idx="0">
                  <c:v>regusto_duracion</c:v>
                </c:pt>
                <c:pt idx="1">
                  <c:v>regusto_ahumado</c:v>
                </c:pt>
                <c:pt idx="2">
                  <c:v>regusto_complejidad</c:v>
                </c:pt>
                <c:pt idx="3">
                  <c:v>global_integracion_ahumado</c:v>
                </c:pt>
                <c:pt idx="4">
                  <c:v>global_armonia</c:v>
                </c:pt>
                <c:pt idx="5">
                  <c:v>global_tomabilidad</c:v>
                </c:pt>
              </c:strCache>
            </c:strRef>
          </c:cat>
          <c:val>
            <c:numRef>
              <c:f>Levaduras!$B$25:$B$30</c:f>
              <c:numCache>
                <c:formatCode>0.0</c:formatCode>
                <c:ptCount val="6"/>
                <c:pt idx="0">
                  <c:v>3.1</c:v>
                </c:pt>
                <c:pt idx="1">
                  <c:v>2.1</c:v>
                </c:pt>
                <c:pt idx="2">
                  <c:v>2.4</c:v>
                </c:pt>
                <c:pt idx="3">
                  <c:v>2.6</c:v>
                </c:pt>
                <c:pt idx="4">
                  <c:v>2.9</c:v>
                </c:pt>
                <c:pt idx="5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2-44B1-8809-87BB1807CEDB}"/>
            </c:ext>
          </c:extLst>
        </c:ser>
        <c:ser>
          <c:idx val="1"/>
          <c:order val="1"/>
          <c:tx>
            <c:strRef>
              <c:f>Levaduras!$C$3</c:f>
              <c:strCache>
                <c:ptCount val="1"/>
                <c:pt idx="0">
                  <c:v>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Levaduras!$A$25:$A$30</c:f>
              <c:strCache>
                <c:ptCount val="6"/>
                <c:pt idx="0">
                  <c:v>regusto_duracion</c:v>
                </c:pt>
                <c:pt idx="1">
                  <c:v>regusto_ahumado</c:v>
                </c:pt>
                <c:pt idx="2">
                  <c:v>regusto_complejidad</c:v>
                </c:pt>
                <c:pt idx="3">
                  <c:v>global_integracion_ahumado</c:v>
                </c:pt>
                <c:pt idx="4">
                  <c:v>global_armonia</c:v>
                </c:pt>
                <c:pt idx="5">
                  <c:v>global_tomabilidad</c:v>
                </c:pt>
              </c:strCache>
            </c:strRef>
          </c:cat>
          <c:val>
            <c:numRef>
              <c:f>Levaduras!$C$25:$C$30</c:f>
              <c:numCache>
                <c:formatCode>General</c:formatCode>
                <c:ptCount val="6"/>
                <c:pt idx="0">
                  <c:v>3.3</c:v>
                </c:pt>
                <c:pt idx="1">
                  <c:v>2.1</c:v>
                </c:pt>
                <c:pt idx="2">
                  <c:v>2.8</c:v>
                </c:pt>
                <c:pt idx="3">
                  <c:v>2.7</c:v>
                </c:pt>
                <c:pt idx="4">
                  <c:v>3.2</c:v>
                </c:pt>
                <c:pt idx="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2-44B1-8809-87BB1807CEDB}"/>
            </c:ext>
          </c:extLst>
        </c:ser>
        <c:ser>
          <c:idx val="2"/>
          <c:order val="2"/>
          <c:tx>
            <c:strRef>
              <c:f>Levaduras!$D$3</c:f>
              <c:strCache>
                <c:ptCount val="1"/>
                <c:pt idx="0">
                  <c:v>H76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Levaduras!$A$25:$A$30</c:f>
              <c:strCache>
                <c:ptCount val="6"/>
                <c:pt idx="0">
                  <c:v>regusto_duracion</c:v>
                </c:pt>
                <c:pt idx="1">
                  <c:v>regusto_ahumado</c:v>
                </c:pt>
                <c:pt idx="2">
                  <c:v>regusto_complejidad</c:v>
                </c:pt>
                <c:pt idx="3">
                  <c:v>global_integracion_ahumado</c:v>
                </c:pt>
                <c:pt idx="4">
                  <c:v>global_armonia</c:v>
                </c:pt>
                <c:pt idx="5">
                  <c:v>global_tomabilidad</c:v>
                </c:pt>
              </c:strCache>
            </c:strRef>
          </c:cat>
          <c:val>
            <c:numRef>
              <c:f>Levaduras!$D$25:$D$30</c:f>
              <c:numCache>
                <c:formatCode>0.0</c:formatCode>
                <c:ptCount val="6"/>
                <c:pt idx="0">
                  <c:v>3.2</c:v>
                </c:pt>
                <c:pt idx="1">
                  <c:v>2.6</c:v>
                </c:pt>
                <c:pt idx="2">
                  <c:v>2.9</c:v>
                </c:pt>
                <c:pt idx="3">
                  <c:v>3.05</c:v>
                </c:pt>
                <c:pt idx="4">
                  <c:v>3.2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2-44B1-8809-87BB1807C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27568"/>
        <c:axId val="202132368"/>
      </c:radarChart>
      <c:catAx>
        <c:axId val="2021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132368"/>
        <c:crosses val="autoZero"/>
        <c:auto val="1"/>
        <c:lblAlgn val="ctr"/>
        <c:lblOffset val="100"/>
        <c:noMultiLvlLbl val="0"/>
      </c:catAx>
      <c:valAx>
        <c:axId val="2021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21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7526872884535369"/>
          <c:y val="4.6066760693357522E-2"/>
          <c:w val="0.19084869940407248"/>
          <c:h val="0.315202586561851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103910</xdr:colOff>
      <xdr:row>33</xdr:row>
      <xdr:rowOff>163223</xdr:rowOff>
    </xdr:from>
    <xdr:to>
      <xdr:col>5</xdr:col>
      <xdr:colOff>16299</xdr:colOff>
      <xdr:row>70</xdr:row>
      <xdr:rowOff>102889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E9CD5F3-5BA6-C951-8214-A2F5551C5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146122</xdr:colOff>
      <xdr:row>33</xdr:row>
      <xdr:rowOff>157812</xdr:rowOff>
    </xdr:from>
    <xdr:to>
      <xdr:col>11</xdr:col>
      <xdr:colOff>450272</xdr:colOff>
      <xdr:row>70</xdr:row>
      <xdr:rowOff>86590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FD14E13-5EE0-A6E8-2A99-9EF6A6238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658091</xdr:colOff>
      <xdr:row>34</xdr:row>
      <xdr:rowOff>18183</xdr:rowOff>
    </xdr:from>
    <xdr:to>
      <xdr:col>16</xdr:col>
      <xdr:colOff>1082386</xdr:colOff>
      <xdr:row>70</xdr:row>
      <xdr:rowOff>129885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314F517-B461-F30D-2EB9-D7DC9A8BC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279007</xdr:colOff>
      <xdr:row>33</xdr:row>
      <xdr:rowOff>28943</xdr:rowOff>
    </xdr:from>
    <xdr:to>
      <xdr:col>5</xdr:col>
      <xdr:colOff>222538</xdr:colOff>
      <xdr:row>62</xdr:row>
      <xdr:rowOff>87457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58C7575-BD0C-EF97-17E3-EF00F60E0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776905</xdr:colOff>
      <xdr:row>33</xdr:row>
      <xdr:rowOff>10575</xdr:rowOff>
    </xdr:from>
    <xdr:to>
      <xdr:col>11</xdr:col>
      <xdr:colOff>670214</xdr:colOff>
      <xdr:row>62</xdr:row>
      <xdr:rowOff>96982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E456EF-5B1B-17DA-3125-9B5E341F4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925347</xdr:colOff>
      <xdr:row>32</xdr:row>
      <xdr:rowOff>105827</xdr:rowOff>
    </xdr:from>
    <xdr:to>
      <xdr:col>13</xdr:col>
      <xdr:colOff>1943967</xdr:colOff>
      <xdr:row>62</xdr:row>
      <xdr:rowOff>138546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E046956-938F-F5BA-8874-916C87F6D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947796</xdr:colOff>
      <xdr:row>34</xdr:row>
      <xdr:rowOff>34078</xdr:rowOff>
    </xdr:from>
    <xdr:to>
      <xdr:col>4</xdr:col>
      <xdr:colOff>795398</xdr:colOff>
      <xdr:row>61</xdr:row>
      <xdr:rowOff>33398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30AD4B-7604-29C7-9678-45E9FFBD5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106814</xdr:colOff>
      <xdr:row>33</xdr:row>
      <xdr:rowOff>131803</xdr:rowOff>
    </xdr:from>
    <xdr:to>
      <xdr:col>11</xdr:col>
      <xdr:colOff>217714</xdr:colOff>
      <xdr:row>60</xdr:row>
      <xdr:rowOff>149492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6FA4DA5-2E93-1212-79D9-CFCE2DC25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743259</xdr:colOff>
      <xdr:row>34</xdr:row>
      <xdr:rowOff>20285</xdr:rowOff>
    </xdr:from>
    <xdr:to>
      <xdr:col>13</xdr:col>
      <xdr:colOff>1321562</xdr:colOff>
      <xdr:row>61</xdr:row>
      <xdr:rowOff>129887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8991CA6-2672-8B96-86EE-B7ECB69C4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364607</xdr:colOff>
      <xdr:row>2</xdr:row>
      <xdr:rowOff>13854</xdr:rowOff>
    </xdr:from>
    <xdr:to>
      <xdr:col>8</xdr:col>
      <xdr:colOff>762000</xdr:colOff>
      <xdr:row>16</xdr:row>
      <xdr:rowOff>34636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4E59AF5-D4C6-563C-E7C2-9C7775CFD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364607</xdr:colOff>
      <xdr:row>16</xdr:row>
      <xdr:rowOff>139412</xdr:rowOff>
    </xdr:from>
    <xdr:to>
      <xdr:col>8</xdr:col>
      <xdr:colOff>744681</xdr:colOff>
      <xdr:row>30</xdr:row>
      <xdr:rowOff>77931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B1FB22F-FFEF-B8C3-24A4-0DBED4EF6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362135</xdr:colOff>
      <xdr:row>31</xdr:row>
      <xdr:rowOff>109104</xdr:rowOff>
    </xdr:from>
    <xdr:to>
      <xdr:col>8</xdr:col>
      <xdr:colOff>762000</xdr:colOff>
      <xdr:row>50</xdr:row>
      <xdr:rowOff>43295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C126E4C-EF33-C128-C5D9-C19B7F172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M27" headerRowDxfId="37" headerRowBorderDxfId="36" headerRowCellStyle="Normal 2">
  <tableColumns count="39">
    <tableColumn id="38" xr3:uid="{8B07B407-344C-42F1-AA1A-FB6002FF280D}" name="identificador" dataDxfId="35"/>
    <tableColumn id="37" xr3:uid="{13C987FC-41C8-4B50-8EEF-2C759BA8FECD}" name="file " dataDxfId="34"/>
    <tableColumn id="36" xr3:uid="{3F0754A8-B2AF-4A10-A5B3-2C415D0E634C}" name="dato_panel" dataDxfId="33"/>
    <tableColumn id="35" xr3:uid="{5B68ADF1-931B-4E73-B79E-BBEEDBABAD33}" name="tipo_panel" dataDxfId="32"/>
    <tableColumn id="34" xr3:uid="{7258FA55-4025-451B-81B0-1F9303D47F77}" name="id_panel" dataDxfId="31"/>
    <tableColumn id="1" xr3:uid="{00000000-0010-0000-0000-000001000000}" name="marca_temporal"/>
    <tableColumn id="2" xr3:uid="{00000000-0010-0000-0000-000002000000}" name="correo_electronico"/>
    <tableColumn id="3" xr3:uid="{00000000-0010-0000-0000-000003000000}" name="nombre_catador"/>
    <tableColumn id="4" xr3:uid="{00000000-0010-0000-0000-000004000000}" name="num_muestra" dataDxfId="30"/>
    <tableColumn id="5" xr3:uid="{00000000-0010-0000-0000-000005000000}" name=" aroma_ahumado" dataDxfId="29"/>
    <tableColumn id="6" xr3:uid="{00000000-0010-0000-0000-000006000000}" name="aroma_medicinal" dataDxfId="28"/>
    <tableColumn id="7" xr3:uid="{00000000-0010-0000-0000-000007000000}" name="aroma_terroso" dataDxfId="27"/>
    <tableColumn id="8" xr3:uid="{00000000-0010-0000-0000-000008000000}" name="aroma_amaderado" dataDxfId="26"/>
    <tableColumn id="9" xr3:uid="{00000000-0010-0000-0000-000009000000}" name="aroma_cafe" dataDxfId="25"/>
    <tableColumn id="10" xr3:uid="{00000000-0010-0000-0000-00000A000000}" name="aroma_otro" dataDxfId="24"/>
    <tableColumn id="12" xr3:uid="{00000000-0010-0000-0000-00000C000000}" name="aroma_frutal" dataDxfId="23"/>
    <tableColumn id="13" xr3:uid="{00000000-0010-0000-0000-00000D000000}" name="aroma_vainilla" dataDxfId="22"/>
    <tableColumn id="39" xr3:uid="{BF8306EA-A233-4C12-82E3-307355970710}" name="aroma_cereal_limpio" dataDxfId="21">
      <calculatedColumnFormula>IF(S2="","",IFERROR(VALUE(S2),(VALUE(LEFT(S2,1))+VALUE(RIGHT(S2,1)))/2))</calculatedColumnFormula>
    </tableColumn>
    <tableColumn id="14" xr3:uid="{00000000-0010-0000-0000-00000E000000}" name="aroma_cereal" dataDxfId="20"/>
    <tableColumn id="11" xr3:uid="{00000000-0010-0000-0000-00000B000000}" name="aroma_otro_texto" dataDxfId="19"/>
    <tableColumn id="15" xr3:uid="{00000000-0010-0000-0000-00000F000000}" name="aroma_otras_notas texto" dataDxfId="18"/>
    <tableColumn id="16" xr3:uid="{00000000-0010-0000-0000-000010000000}" name="sabor_ahumado" dataDxfId="17"/>
    <tableColumn id="17" xr3:uid="{00000000-0010-0000-0000-000011000000}" name="sabor_medicinal" dataDxfId="16"/>
    <tableColumn id="18" xr3:uid="{00000000-0010-0000-0000-000012000000}" name="sabor_terroso" dataDxfId="15"/>
    <tableColumn id="19" xr3:uid="{00000000-0010-0000-0000-000013000000}" name="sabor_amaderado" dataDxfId="14"/>
    <tableColumn id="20" xr3:uid="{00000000-0010-0000-0000-000014000000}" name="sabor_cafe" dataDxfId="13"/>
    <tableColumn id="21" xr3:uid="{00000000-0010-0000-0000-000015000000}" name="sabor_frutal" dataDxfId="12"/>
    <tableColumn id="22" xr3:uid="{00000000-0010-0000-0000-000016000000}" name="sabor_vainilla" dataDxfId="11"/>
    <tableColumn id="23" xr3:uid="{00000000-0010-0000-0000-000017000000}" name="sabor_cereal" dataDxfId="10"/>
    <tableColumn id="24" xr3:uid="{00000000-0010-0000-0000-000018000000}" name="sabor_otras_notas_texto" dataDxfId="9"/>
    <tableColumn id="25" xr3:uid="{00000000-0010-0000-0000-000019000000}" name="sabor_sensacion_boca" dataDxfId="8"/>
    <tableColumn id="26" xr3:uid="{00000000-0010-0000-0000-00001A000000}" name="regusto_duracion" dataDxfId="7"/>
    <tableColumn id="27" xr3:uid="{00000000-0010-0000-0000-00001B000000}" name="regusto_ahumado" dataDxfId="6"/>
    <tableColumn id="28" xr3:uid="{00000000-0010-0000-0000-00001C000000}" name="regusto_complejidad" dataDxfId="5"/>
    <tableColumn id="29" xr3:uid="{00000000-0010-0000-0000-00001D000000}" name="global_integracion_ahumado" dataDxfId="4"/>
    <tableColumn id="30" xr3:uid="{00000000-0010-0000-0000-00001E000000}" name="global_armonia" dataDxfId="3"/>
    <tableColumn id="31" xr3:uid="{00000000-0010-0000-0000-00001F000000}" name="global_tomabilidad" dataDxfId="2"/>
    <tableColumn id="32" xr3:uid="{00000000-0010-0000-0000-000020000000}" name="notas_cata" dataDxfId="1"/>
    <tableColumn id="33" xr3:uid="{00000000-0010-0000-0000-000021000000}" name="comentarios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31"/>
  <sheetViews>
    <sheetView zoomScale="70" zoomScaleNormal="70" workbookViewId="0">
      <pane ySplit="1" topLeftCell="A2" activePane="bottomLeft" state="frozen"/>
      <selection pane="bottomLeft" activeCell="D10" sqref="D10"/>
    </sheetView>
  </sheetViews>
  <sheetFormatPr baseColWidth="10" defaultColWidth="12.6640625" defaultRowHeight="12.75" x14ac:dyDescent="0.35"/>
  <cols>
    <col min="1" max="1" width="16.46484375" customWidth="1"/>
    <col min="2" max="2" width="23.6640625" style="43" customWidth="1"/>
    <col min="3" max="5" width="13.796875" bestFit="1" customWidth="1"/>
    <col min="6" max="6" width="19.9296875" bestFit="1" customWidth="1"/>
    <col min="7" max="7" width="27.265625" bestFit="1" customWidth="1"/>
    <col min="8" max="8" width="20.33203125" bestFit="1" customWidth="1"/>
    <col min="9" max="9" width="16.19921875" style="36" customWidth="1"/>
    <col min="10" max="10" width="21.265625" style="36" bestFit="1" customWidth="1"/>
    <col min="11" max="11" width="14.06640625" style="36" bestFit="1" customWidth="1"/>
    <col min="12" max="12" width="18.46484375" style="36" bestFit="1" customWidth="1"/>
    <col min="13" max="13" width="22.73046875" style="36" bestFit="1" customWidth="1"/>
    <col min="14" max="14" width="15.265625" style="36" bestFit="1" customWidth="1"/>
    <col min="15" max="15" width="15.1328125" style="36" bestFit="1" customWidth="1"/>
    <col min="16" max="16" width="16.19921875" style="36" bestFit="1" customWidth="1"/>
    <col min="17" max="17" width="18.19921875" style="36" bestFit="1" customWidth="1"/>
    <col min="18" max="18" width="18.19921875" style="36" customWidth="1"/>
    <col min="19" max="19" width="17.1328125" style="36" bestFit="1" customWidth="1"/>
    <col min="20" max="20" width="21.9296875" style="31" customWidth="1"/>
    <col min="21" max="21" width="27.06640625" style="31" customWidth="1"/>
    <col min="22" max="22" width="20.19921875" style="36" bestFit="1" customWidth="1"/>
    <col min="23" max="23" width="20.33203125" style="36" bestFit="1" customWidth="1"/>
    <col min="24" max="24" width="17.9296875" style="36" bestFit="1" customWidth="1"/>
    <col min="25" max="25" width="22.06640625" style="36" bestFit="1" customWidth="1"/>
    <col min="26" max="26" width="14.73046875" style="36" bestFit="1" customWidth="1"/>
    <col min="27" max="27" width="15.6640625" style="36" bestFit="1" customWidth="1"/>
    <col min="28" max="28" width="17.6640625" style="36" bestFit="1" customWidth="1"/>
    <col min="29" max="29" width="16.59765625" style="36" bestFit="1" customWidth="1"/>
    <col min="30" max="30" width="29.265625" style="40" bestFit="1" customWidth="1"/>
    <col min="31" max="31" width="27.6640625" style="43" bestFit="1" customWidth="1"/>
    <col min="32" max="32" width="21.6640625" style="43" bestFit="1" customWidth="1"/>
    <col min="33" max="33" width="22.33203125" style="43" bestFit="1" customWidth="1"/>
    <col min="34" max="34" width="20.9296875" style="43" bestFit="1" customWidth="1"/>
    <col min="35" max="35" width="21" style="43" bestFit="1" customWidth="1"/>
    <col min="36" max="36" width="19.265625" style="43" bestFit="1" customWidth="1"/>
    <col min="37" max="37" width="20.33203125" style="43" bestFit="1" customWidth="1"/>
    <col min="38" max="38" width="31.53125" style="31" bestFit="1" customWidth="1"/>
    <col min="39" max="39" width="33" style="31" bestFit="1" customWidth="1"/>
    <col min="40" max="41" width="18.796875" customWidth="1"/>
  </cols>
  <sheetData>
    <row r="1" spans="1:39" s="48" customFormat="1" ht="30" x14ac:dyDescent="0.55000000000000004">
      <c r="A1" s="57" t="s">
        <v>78</v>
      </c>
      <c r="B1" s="57" t="s">
        <v>115</v>
      </c>
      <c r="C1" s="57" t="s">
        <v>79</v>
      </c>
      <c r="D1" s="57" t="s">
        <v>80</v>
      </c>
      <c r="E1" s="57" t="s">
        <v>81</v>
      </c>
      <c r="F1" s="57" t="s">
        <v>82</v>
      </c>
      <c r="G1" s="57" t="s">
        <v>83</v>
      </c>
      <c r="H1" s="57" t="s">
        <v>84</v>
      </c>
      <c r="I1" s="57" t="s">
        <v>85</v>
      </c>
      <c r="J1" s="57" t="s">
        <v>86</v>
      </c>
      <c r="K1" s="57" t="s">
        <v>87</v>
      </c>
      <c r="L1" s="57" t="s">
        <v>88</v>
      </c>
      <c r="M1" s="57" t="s">
        <v>89</v>
      </c>
      <c r="N1" s="57" t="s">
        <v>90</v>
      </c>
      <c r="O1" s="57" t="s">
        <v>91</v>
      </c>
      <c r="P1" s="57" t="s">
        <v>92</v>
      </c>
      <c r="Q1" s="57" t="s">
        <v>93</v>
      </c>
      <c r="R1" s="57" t="s">
        <v>171</v>
      </c>
      <c r="S1" s="57" t="s">
        <v>94</v>
      </c>
      <c r="T1" s="57" t="s">
        <v>95</v>
      </c>
      <c r="U1" s="57" t="s">
        <v>96</v>
      </c>
      <c r="V1" s="57" t="s">
        <v>97</v>
      </c>
      <c r="W1" s="57" t="s">
        <v>98</v>
      </c>
      <c r="X1" s="57" t="s">
        <v>99</v>
      </c>
      <c r="Y1" s="57" t="s">
        <v>100</v>
      </c>
      <c r="Z1" s="57" t="s">
        <v>101</v>
      </c>
      <c r="AA1" s="57" t="s">
        <v>102</v>
      </c>
      <c r="AB1" s="57" t="s">
        <v>103</v>
      </c>
      <c r="AC1" s="57" t="s">
        <v>104</v>
      </c>
      <c r="AD1" s="57" t="s">
        <v>105</v>
      </c>
      <c r="AE1" s="57" t="s">
        <v>106</v>
      </c>
      <c r="AF1" s="57" t="s">
        <v>107</v>
      </c>
      <c r="AG1" s="57" t="s">
        <v>108</v>
      </c>
      <c r="AH1" s="57" t="s">
        <v>109</v>
      </c>
      <c r="AI1" s="57" t="s">
        <v>110</v>
      </c>
      <c r="AJ1" s="57" t="s">
        <v>111</v>
      </c>
      <c r="AK1" s="57" t="s">
        <v>112</v>
      </c>
      <c r="AL1" s="57" t="s">
        <v>113</v>
      </c>
      <c r="AM1" s="57" t="s">
        <v>114</v>
      </c>
    </row>
    <row r="2" spans="1:39" ht="25.5" x14ac:dyDescent="0.35">
      <c r="A2" s="26" t="s">
        <v>117</v>
      </c>
      <c r="B2" s="47" t="s">
        <v>116</v>
      </c>
      <c r="C2" s="49" t="s">
        <v>143</v>
      </c>
      <c r="D2" s="49" t="s">
        <v>144</v>
      </c>
      <c r="E2" t="s">
        <v>145</v>
      </c>
      <c r="F2" s="50">
        <v>45559.608202326388</v>
      </c>
      <c r="G2" s="51" t="s">
        <v>0</v>
      </c>
      <c r="H2" s="51" t="s">
        <v>1</v>
      </c>
      <c r="I2" s="52">
        <v>1</v>
      </c>
      <c r="J2" s="52">
        <v>2</v>
      </c>
      <c r="K2" s="52">
        <v>3</v>
      </c>
      <c r="L2" s="52">
        <v>1</v>
      </c>
      <c r="M2" s="52">
        <v>2</v>
      </c>
      <c r="N2" s="52">
        <v>2</v>
      </c>
      <c r="O2" s="52">
        <v>1</v>
      </c>
      <c r="P2" s="52">
        <v>3</v>
      </c>
      <c r="Q2" s="52">
        <v>4</v>
      </c>
      <c r="R2" s="52">
        <f t="shared" ref="R2:R27" si="0">IF(S2="","",IFERROR(VALUE(S2),(VALUE(LEFT(S2,1))+VALUE(RIGHT(S2,1)))/2))</f>
        <v>3</v>
      </c>
      <c r="S2" s="52">
        <v>3</v>
      </c>
      <c r="T2" s="53"/>
      <c r="U2" s="53"/>
      <c r="V2" s="52">
        <v>2</v>
      </c>
      <c r="W2" s="52">
        <v>3</v>
      </c>
      <c r="X2" s="52">
        <v>2</v>
      </c>
      <c r="Y2" s="52">
        <v>2</v>
      </c>
      <c r="Z2" s="52">
        <v>2</v>
      </c>
      <c r="AA2" s="52">
        <v>3</v>
      </c>
      <c r="AB2" s="52">
        <v>2</v>
      </c>
      <c r="AC2" s="52">
        <v>2</v>
      </c>
      <c r="AD2" s="54"/>
      <c r="AE2" s="55">
        <v>2</v>
      </c>
      <c r="AF2" s="55">
        <v>2</v>
      </c>
      <c r="AG2" s="55">
        <v>2</v>
      </c>
      <c r="AH2" s="55">
        <v>2</v>
      </c>
      <c r="AI2" s="55">
        <v>2</v>
      </c>
      <c r="AJ2" s="55">
        <v>2</v>
      </c>
      <c r="AK2" s="55">
        <v>2</v>
      </c>
      <c r="AL2" s="53"/>
      <c r="AM2" s="56"/>
    </row>
    <row r="3" spans="1:39" ht="25.5" x14ac:dyDescent="0.35">
      <c r="A3" s="26" t="s">
        <v>118</v>
      </c>
      <c r="B3" s="47" t="s">
        <v>116</v>
      </c>
      <c r="C3" s="49" t="s">
        <v>143</v>
      </c>
      <c r="D3" s="49" t="s">
        <v>144</v>
      </c>
      <c r="E3" t="s">
        <v>146</v>
      </c>
      <c r="F3" s="45">
        <v>45559.608833495367</v>
      </c>
      <c r="G3" s="2" t="s">
        <v>2</v>
      </c>
      <c r="H3" s="2" t="s">
        <v>3</v>
      </c>
      <c r="I3" s="35">
        <v>1</v>
      </c>
      <c r="J3" s="35">
        <v>3</v>
      </c>
      <c r="K3" s="35">
        <v>4</v>
      </c>
      <c r="L3" s="35">
        <v>2</v>
      </c>
      <c r="M3" s="35">
        <v>5</v>
      </c>
      <c r="N3" s="35">
        <v>1</v>
      </c>
      <c r="O3" s="35">
        <v>1</v>
      </c>
      <c r="P3" s="35">
        <v>1</v>
      </c>
      <c r="Q3" s="35">
        <v>1</v>
      </c>
      <c r="R3" s="35">
        <f t="shared" si="0"/>
        <v>1</v>
      </c>
      <c r="S3" s="35">
        <v>1</v>
      </c>
      <c r="T3" s="30"/>
      <c r="U3" s="30"/>
      <c r="V3" s="35">
        <v>3</v>
      </c>
      <c r="W3" s="35">
        <v>3</v>
      </c>
      <c r="X3" s="35">
        <v>2</v>
      </c>
      <c r="Y3" s="35">
        <v>3</v>
      </c>
      <c r="Z3" s="35">
        <v>1</v>
      </c>
      <c r="AA3" s="35">
        <v>1</v>
      </c>
      <c r="AB3" s="35">
        <v>2</v>
      </c>
      <c r="AC3" s="35">
        <v>1</v>
      </c>
      <c r="AD3" s="39"/>
      <c r="AE3" s="41">
        <v>3</v>
      </c>
      <c r="AF3" s="41">
        <v>3</v>
      </c>
      <c r="AG3" s="41">
        <v>1</v>
      </c>
      <c r="AH3" s="41">
        <v>2</v>
      </c>
      <c r="AI3" s="41">
        <v>3</v>
      </c>
      <c r="AJ3" s="41">
        <v>4</v>
      </c>
      <c r="AK3" s="41">
        <v>4</v>
      </c>
      <c r="AL3" s="30"/>
      <c r="AM3" s="33"/>
    </row>
    <row r="4" spans="1:39" ht="38.25" x14ac:dyDescent="0.35">
      <c r="A4" s="26" t="s">
        <v>119</v>
      </c>
      <c r="B4" s="47" t="s">
        <v>116</v>
      </c>
      <c r="C4" s="49" t="s">
        <v>143</v>
      </c>
      <c r="D4" s="49" t="s">
        <v>144</v>
      </c>
      <c r="E4" t="s">
        <v>147</v>
      </c>
      <c r="F4" s="44">
        <v>45559.6090471875</v>
      </c>
      <c r="G4" s="1" t="s">
        <v>4</v>
      </c>
      <c r="H4" s="1" t="s">
        <v>5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3</v>
      </c>
      <c r="Q4" s="34">
        <v>2</v>
      </c>
      <c r="R4" s="60">
        <f t="shared" si="0"/>
        <v>3.5</v>
      </c>
      <c r="S4" s="58" t="s">
        <v>6</v>
      </c>
      <c r="T4" s="29"/>
      <c r="U4" s="29"/>
      <c r="V4" s="34">
        <v>1</v>
      </c>
      <c r="W4" s="34">
        <v>1</v>
      </c>
      <c r="X4" s="34">
        <v>1</v>
      </c>
      <c r="Y4" s="34">
        <v>1</v>
      </c>
      <c r="Z4" s="34">
        <v>1</v>
      </c>
      <c r="AA4" s="34">
        <v>3</v>
      </c>
      <c r="AB4" s="34">
        <v>2</v>
      </c>
      <c r="AC4" s="34">
        <v>2</v>
      </c>
      <c r="AD4" s="38"/>
      <c r="AE4" s="42">
        <v>4</v>
      </c>
      <c r="AF4" s="42">
        <v>3</v>
      </c>
      <c r="AG4" s="42">
        <v>1</v>
      </c>
      <c r="AH4" s="42" t="s">
        <v>7</v>
      </c>
      <c r="AI4" s="42">
        <v>1</v>
      </c>
      <c r="AJ4" s="42">
        <v>3</v>
      </c>
      <c r="AK4" s="42">
        <v>5</v>
      </c>
      <c r="AL4" s="29" t="s">
        <v>8</v>
      </c>
      <c r="AM4" s="32" t="s">
        <v>9</v>
      </c>
    </row>
    <row r="5" spans="1:39" ht="25.5" x14ac:dyDescent="0.35">
      <c r="A5" s="26" t="s">
        <v>120</v>
      </c>
      <c r="B5" s="47" t="s">
        <v>116</v>
      </c>
      <c r="C5" s="49" t="s">
        <v>143</v>
      </c>
      <c r="D5" s="49" t="s">
        <v>144</v>
      </c>
      <c r="E5" t="s">
        <v>148</v>
      </c>
      <c r="F5" s="45">
        <v>45559.611300856486</v>
      </c>
      <c r="G5" s="2" t="s">
        <v>10</v>
      </c>
      <c r="H5" s="2" t="s">
        <v>11</v>
      </c>
      <c r="I5" s="35">
        <v>2</v>
      </c>
      <c r="J5" s="35">
        <v>2</v>
      </c>
      <c r="K5" s="35">
        <v>2</v>
      </c>
      <c r="L5" s="35">
        <v>2</v>
      </c>
      <c r="M5" s="35">
        <v>2</v>
      </c>
      <c r="N5" s="35">
        <v>2</v>
      </c>
      <c r="O5" s="35">
        <v>1</v>
      </c>
      <c r="P5" s="35">
        <v>4</v>
      </c>
      <c r="Q5" s="35">
        <v>2</v>
      </c>
      <c r="R5" s="35">
        <f t="shared" si="0"/>
        <v>1</v>
      </c>
      <c r="S5" s="35">
        <v>1</v>
      </c>
      <c r="T5" s="30" t="s">
        <v>13</v>
      </c>
      <c r="U5" s="30"/>
      <c r="V5" s="35">
        <v>2</v>
      </c>
      <c r="W5" s="35">
        <v>1</v>
      </c>
      <c r="X5" s="35">
        <v>2</v>
      </c>
      <c r="Y5" s="35">
        <v>2</v>
      </c>
      <c r="Z5" s="35">
        <v>3</v>
      </c>
      <c r="AA5" s="35">
        <v>2</v>
      </c>
      <c r="AB5" s="35">
        <v>1</v>
      </c>
      <c r="AC5" s="35">
        <v>2</v>
      </c>
      <c r="AD5" s="39"/>
      <c r="AE5" s="41">
        <v>3</v>
      </c>
      <c r="AF5" s="41">
        <v>4</v>
      </c>
      <c r="AG5" s="41">
        <v>2</v>
      </c>
      <c r="AH5" s="41">
        <v>4</v>
      </c>
      <c r="AI5" s="41">
        <v>3</v>
      </c>
      <c r="AJ5" s="41">
        <v>4</v>
      </c>
      <c r="AK5" s="41">
        <v>5</v>
      </c>
      <c r="AL5" s="30"/>
      <c r="AM5" s="33"/>
    </row>
    <row r="6" spans="1:39" ht="63.75" x14ac:dyDescent="0.35">
      <c r="A6" s="26" t="s">
        <v>121</v>
      </c>
      <c r="B6" s="47" t="s">
        <v>116</v>
      </c>
      <c r="C6" s="49" t="s">
        <v>143</v>
      </c>
      <c r="D6" s="49" t="s">
        <v>144</v>
      </c>
      <c r="E6" t="s">
        <v>149</v>
      </c>
      <c r="F6" s="44">
        <v>45559.611563425926</v>
      </c>
      <c r="G6" s="1" t="s">
        <v>14</v>
      </c>
      <c r="H6" s="1" t="s">
        <v>15</v>
      </c>
      <c r="I6" s="34">
        <v>1</v>
      </c>
      <c r="J6" s="34">
        <v>1</v>
      </c>
      <c r="K6" s="34">
        <v>4</v>
      </c>
      <c r="L6" s="34">
        <v>1</v>
      </c>
      <c r="M6" s="34">
        <v>4</v>
      </c>
      <c r="N6" s="34">
        <v>2</v>
      </c>
      <c r="O6" s="34">
        <v>1</v>
      </c>
      <c r="P6" s="34">
        <v>2</v>
      </c>
      <c r="Q6" s="34">
        <v>4</v>
      </c>
      <c r="R6" s="34">
        <f t="shared" si="0"/>
        <v>3</v>
      </c>
      <c r="S6" s="34">
        <v>3</v>
      </c>
      <c r="T6" s="29"/>
      <c r="U6" s="29"/>
      <c r="V6" s="34">
        <v>2</v>
      </c>
      <c r="W6" s="34">
        <v>3</v>
      </c>
      <c r="X6" s="34">
        <v>1</v>
      </c>
      <c r="Y6" s="34">
        <v>3</v>
      </c>
      <c r="Z6" s="34">
        <v>1</v>
      </c>
      <c r="AA6" s="34">
        <v>3</v>
      </c>
      <c r="AB6" s="34">
        <v>3</v>
      </c>
      <c r="AC6" s="34">
        <v>3</v>
      </c>
      <c r="AD6" s="38"/>
      <c r="AE6" s="42">
        <v>1</v>
      </c>
      <c r="AF6" s="42">
        <v>4</v>
      </c>
      <c r="AG6" s="42">
        <v>2</v>
      </c>
      <c r="AH6" s="42">
        <v>3</v>
      </c>
      <c r="AI6" s="42">
        <v>3</v>
      </c>
      <c r="AJ6" s="42">
        <v>3</v>
      </c>
      <c r="AK6" s="42">
        <v>4</v>
      </c>
      <c r="AL6" s="29" t="s">
        <v>16</v>
      </c>
      <c r="AM6" s="32"/>
    </row>
    <row r="7" spans="1:39" ht="25.5" x14ac:dyDescent="0.35">
      <c r="A7" s="26" t="s">
        <v>122</v>
      </c>
      <c r="B7" s="47" t="s">
        <v>116</v>
      </c>
      <c r="C7" s="49" t="s">
        <v>143</v>
      </c>
      <c r="D7" s="49" t="s">
        <v>144</v>
      </c>
      <c r="E7" t="s">
        <v>150</v>
      </c>
      <c r="F7" s="45">
        <v>45559.611749699077</v>
      </c>
      <c r="G7" s="2" t="s">
        <v>0</v>
      </c>
      <c r="H7" s="2" t="s">
        <v>1</v>
      </c>
      <c r="I7" s="35">
        <v>2</v>
      </c>
      <c r="J7" s="35">
        <v>3</v>
      </c>
      <c r="K7" s="35">
        <v>3</v>
      </c>
      <c r="L7" s="35">
        <v>2</v>
      </c>
      <c r="M7" s="35">
        <v>2</v>
      </c>
      <c r="N7" s="35">
        <v>2</v>
      </c>
      <c r="O7" s="35">
        <v>1</v>
      </c>
      <c r="P7" s="35">
        <v>3</v>
      </c>
      <c r="Q7" s="35">
        <v>2</v>
      </c>
      <c r="R7" s="35">
        <f t="shared" si="0"/>
        <v>2</v>
      </c>
      <c r="S7" s="35">
        <v>2</v>
      </c>
      <c r="T7" s="30"/>
      <c r="U7" s="30"/>
      <c r="V7" s="35">
        <v>2</v>
      </c>
      <c r="W7" s="35">
        <v>2</v>
      </c>
      <c r="X7" s="35">
        <v>2</v>
      </c>
      <c r="Y7" s="35">
        <v>2</v>
      </c>
      <c r="Z7" s="35">
        <v>2</v>
      </c>
      <c r="AA7" s="35">
        <v>3</v>
      </c>
      <c r="AB7" s="35">
        <v>2</v>
      </c>
      <c r="AC7" s="35">
        <v>2</v>
      </c>
      <c r="AD7" s="39"/>
      <c r="AE7" s="41">
        <v>2</v>
      </c>
      <c r="AF7" s="41">
        <v>2</v>
      </c>
      <c r="AG7" s="41">
        <v>2</v>
      </c>
      <c r="AH7" s="41">
        <v>3</v>
      </c>
      <c r="AI7" s="41">
        <v>2</v>
      </c>
      <c r="AJ7" s="41">
        <v>3</v>
      </c>
      <c r="AK7" s="41">
        <v>3</v>
      </c>
      <c r="AL7" s="30"/>
      <c r="AM7" s="33"/>
    </row>
    <row r="8" spans="1:39" ht="25.5" x14ac:dyDescent="0.35">
      <c r="A8" s="26" t="s">
        <v>123</v>
      </c>
      <c r="B8" s="47" t="s">
        <v>116</v>
      </c>
      <c r="C8" s="49" t="s">
        <v>143</v>
      </c>
      <c r="D8" s="49" t="s">
        <v>144</v>
      </c>
      <c r="E8" t="s">
        <v>151</v>
      </c>
      <c r="F8" s="44">
        <v>45559.611961736111</v>
      </c>
      <c r="G8" s="1" t="s">
        <v>2</v>
      </c>
      <c r="H8" s="1" t="s">
        <v>3</v>
      </c>
      <c r="I8" s="34">
        <v>2</v>
      </c>
      <c r="J8" s="34">
        <v>2</v>
      </c>
      <c r="K8" s="34">
        <v>2</v>
      </c>
      <c r="L8" s="34">
        <v>1</v>
      </c>
      <c r="M8" s="34">
        <v>1</v>
      </c>
      <c r="N8" s="34">
        <v>1</v>
      </c>
      <c r="O8" s="34">
        <v>1</v>
      </c>
      <c r="P8" s="34">
        <v>3</v>
      </c>
      <c r="Q8" s="34">
        <v>1</v>
      </c>
      <c r="R8" s="34">
        <f t="shared" si="0"/>
        <v>1</v>
      </c>
      <c r="S8" s="34">
        <v>1</v>
      </c>
      <c r="T8" s="29"/>
      <c r="U8" s="29"/>
      <c r="V8" s="34">
        <v>4</v>
      </c>
      <c r="W8" s="34">
        <v>3</v>
      </c>
      <c r="X8" s="34">
        <v>4</v>
      </c>
      <c r="Y8" s="34">
        <v>4</v>
      </c>
      <c r="Z8" s="34">
        <v>1</v>
      </c>
      <c r="AA8" s="34">
        <v>3</v>
      </c>
      <c r="AB8" s="34">
        <v>1</v>
      </c>
      <c r="AC8" s="34">
        <v>1</v>
      </c>
      <c r="AD8" s="38"/>
      <c r="AE8" s="42">
        <v>3</v>
      </c>
      <c r="AF8" s="42">
        <v>3</v>
      </c>
      <c r="AG8" s="42">
        <v>2</v>
      </c>
      <c r="AH8" s="42">
        <v>2</v>
      </c>
      <c r="AI8" s="42">
        <v>3</v>
      </c>
      <c r="AJ8" s="42">
        <v>3</v>
      </c>
      <c r="AK8" s="42">
        <v>3</v>
      </c>
      <c r="AL8" s="29"/>
      <c r="AM8" s="32"/>
    </row>
    <row r="9" spans="1:39" ht="25.5" x14ac:dyDescent="0.35">
      <c r="A9" s="26" t="s">
        <v>124</v>
      </c>
      <c r="B9" s="47" t="s">
        <v>116</v>
      </c>
      <c r="C9" s="49" t="s">
        <v>143</v>
      </c>
      <c r="D9" s="49" t="s">
        <v>144</v>
      </c>
      <c r="E9" t="s">
        <v>152</v>
      </c>
      <c r="F9" s="45">
        <v>45559.612552939812</v>
      </c>
      <c r="G9" s="2" t="s">
        <v>4</v>
      </c>
      <c r="H9" s="2" t="s">
        <v>5</v>
      </c>
      <c r="I9" s="35">
        <v>2</v>
      </c>
      <c r="J9" s="35">
        <v>2</v>
      </c>
      <c r="K9" s="35">
        <v>1</v>
      </c>
      <c r="L9" s="35">
        <v>1</v>
      </c>
      <c r="M9" s="35">
        <v>1</v>
      </c>
      <c r="N9" s="35">
        <v>1</v>
      </c>
      <c r="O9" s="35">
        <v>1</v>
      </c>
      <c r="P9" s="35">
        <v>2</v>
      </c>
      <c r="Q9" s="35">
        <v>1</v>
      </c>
      <c r="R9" s="61">
        <f t="shared" si="0"/>
        <v>2.5</v>
      </c>
      <c r="S9" s="59" t="s">
        <v>7</v>
      </c>
      <c r="T9" s="30"/>
      <c r="U9" s="30"/>
      <c r="V9" s="35">
        <v>1</v>
      </c>
      <c r="W9" s="35">
        <v>1</v>
      </c>
      <c r="X9" s="35">
        <v>1</v>
      </c>
      <c r="Y9" s="35">
        <v>1</v>
      </c>
      <c r="Z9" s="35">
        <v>1</v>
      </c>
      <c r="AA9" s="35">
        <v>2</v>
      </c>
      <c r="AB9" s="35">
        <v>2</v>
      </c>
      <c r="AC9" s="35">
        <v>2</v>
      </c>
      <c r="AD9" s="39" t="s">
        <v>17</v>
      </c>
      <c r="AE9" s="41">
        <v>2</v>
      </c>
      <c r="AF9" s="41">
        <v>4</v>
      </c>
      <c r="AG9" s="41">
        <v>1</v>
      </c>
      <c r="AH9" s="41">
        <v>2</v>
      </c>
      <c r="AI9" s="41">
        <v>1</v>
      </c>
      <c r="AJ9" s="41">
        <v>2</v>
      </c>
      <c r="AK9" s="41">
        <v>2</v>
      </c>
      <c r="AL9" s="30" t="s">
        <v>18</v>
      </c>
      <c r="AM9" s="33" t="s">
        <v>19</v>
      </c>
    </row>
    <row r="10" spans="1:39" ht="25.5" x14ac:dyDescent="0.35">
      <c r="A10" s="26" t="s">
        <v>125</v>
      </c>
      <c r="B10" s="47" t="s">
        <v>116</v>
      </c>
      <c r="C10" s="49" t="s">
        <v>143</v>
      </c>
      <c r="D10" s="49" t="s">
        <v>144</v>
      </c>
      <c r="E10" t="s">
        <v>153</v>
      </c>
      <c r="F10" s="44">
        <v>45559.612880925924</v>
      </c>
      <c r="G10" s="1" t="s">
        <v>20</v>
      </c>
      <c r="H10" s="1" t="s">
        <v>21</v>
      </c>
      <c r="I10" s="34">
        <v>1</v>
      </c>
      <c r="J10" s="34">
        <v>2</v>
      </c>
      <c r="K10" s="34">
        <v>3</v>
      </c>
      <c r="L10" s="34">
        <v>4</v>
      </c>
      <c r="M10" s="34">
        <v>3</v>
      </c>
      <c r="N10" s="34">
        <v>2</v>
      </c>
      <c r="O10" s="34">
        <v>1</v>
      </c>
      <c r="P10" s="34">
        <v>2</v>
      </c>
      <c r="Q10" s="34">
        <v>4</v>
      </c>
      <c r="R10" s="34">
        <f t="shared" si="0"/>
        <v>3</v>
      </c>
      <c r="S10" s="34">
        <v>3</v>
      </c>
      <c r="T10" s="29" t="s">
        <v>22</v>
      </c>
      <c r="U10" s="29"/>
      <c r="V10" s="34">
        <v>2</v>
      </c>
      <c r="W10" s="34">
        <v>3</v>
      </c>
      <c r="X10" s="34">
        <v>2</v>
      </c>
      <c r="Y10" s="34">
        <v>3</v>
      </c>
      <c r="Z10" s="34">
        <v>4</v>
      </c>
      <c r="AA10" s="34">
        <v>2</v>
      </c>
      <c r="AB10" s="34">
        <v>3</v>
      </c>
      <c r="AC10" s="34">
        <v>3</v>
      </c>
      <c r="AD10" s="38"/>
      <c r="AE10" s="42">
        <v>3</v>
      </c>
      <c r="AF10" s="42">
        <v>3</v>
      </c>
      <c r="AG10" s="42">
        <v>3</v>
      </c>
      <c r="AH10" s="42">
        <v>3</v>
      </c>
      <c r="AI10" s="42">
        <v>2</v>
      </c>
      <c r="AJ10" s="42">
        <v>2</v>
      </c>
      <c r="AK10" s="42">
        <v>4</v>
      </c>
      <c r="AL10" s="29" t="s">
        <v>23</v>
      </c>
      <c r="AM10" s="32" t="s">
        <v>24</v>
      </c>
    </row>
    <row r="11" spans="1:39" ht="25.5" x14ac:dyDescent="0.35">
      <c r="A11" s="26" t="s">
        <v>126</v>
      </c>
      <c r="B11" s="47" t="s">
        <v>116</v>
      </c>
      <c r="C11" s="49" t="s">
        <v>143</v>
      </c>
      <c r="D11" s="49" t="s">
        <v>144</v>
      </c>
      <c r="E11" t="s">
        <v>154</v>
      </c>
      <c r="F11" s="45">
        <v>45559.613230497685</v>
      </c>
      <c r="G11" s="2" t="s">
        <v>25</v>
      </c>
      <c r="H11" s="2" t="s">
        <v>26</v>
      </c>
      <c r="I11" s="35">
        <v>1</v>
      </c>
      <c r="J11" s="35">
        <v>2</v>
      </c>
      <c r="K11" s="35">
        <v>2</v>
      </c>
      <c r="L11" s="35">
        <v>1</v>
      </c>
      <c r="M11" s="35">
        <v>3</v>
      </c>
      <c r="N11" s="35">
        <v>1</v>
      </c>
      <c r="O11" s="35">
        <v>1</v>
      </c>
      <c r="P11" s="35">
        <v>2</v>
      </c>
      <c r="Q11" s="35">
        <v>4</v>
      </c>
      <c r="R11" s="35">
        <f t="shared" si="0"/>
        <v>2</v>
      </c>
      <c r="S11" s="35">
        <v>2</v>
      </c>
      <c r="T11" s="30"/>
      <c r="U11" s="30"/>
      <c r="V11" s="35">
        <v>1</v>
      </c>
      <c r="W11" s="35">
        <v>2</v>
      </c>
      <c r="X11" s="35">
        <v>1</v>
      </c>
      <c r="Y11" s="35">
        <v>3</v>
      </c>
      <c r="Z11" s="35">
        <v>1</v>
      </c>
      <c r="AA11" s="35">
        <v>3</v>
      </c>
      <c r="AB11" s="35">
        <v>4</v>
      </c>
      <c r="AC11" s="35">
        <v>3</v>
      </c>
      <c r="AD11" s="39"/>
      <c r="AE11" s="41">
        <v>3</v>
      </c>
      <c r="AF11" s="41">
        <v>2</v>
      </c>
      <c r="AG11" s="41">
        <v>2</v>
      </c>
      <c r="AH11" s="41">
        <v>2</v>
      </c>
      <c r="AI11" s="41">
        <v>2</v>
      </c>
      <c r="AJ11" s="41">
        <v>3</v>
      </c>
      <c r="AK11" s="41">
        <v>3</v>
      </c>
      <c r="AL11" s="30" t="s">
        <v>27</v>
      </c>
      <c r="AM11" s="33"/>
    </row>
    <row r="12" spans="1:39" ht="25.5" x14ac:dyDescent="0.35">
      <c r="A12" s="26" t="s">
        <v>127</v>
      </c>
      <c r="B12" s="47" t="s">
        <v>116</v>
      </c>
      <c r="C12" s="49" t="s">
        <v>143</v>
      </c>
      <c r="D12" s="49" t="s">
        <v>144</v>
      </c>
      <c r="E12" t="s">
        <v>155</v>
      </c>
      <c r="F12" s="44">
        <v>45559.615180532404</v>
      </c>
      <c r="G12" s="1" t="s">
        <v>2</v>
      </c>
      <c r="H12" s="1" t="s">
        <v>3</v>
      </c>
      <c r="I12" s="34">
        <v>3</v>
      </c>
      <c r="J12" s="34">
        <v>5</v>
      </c>
      <c r="K12" s="34">
        <v>4</v>
      </c>
      <c r="L12" s="34">
        <v>2</v>
      </c>
      <c r="M12" s="34">
        <v>2</v>
      </c>
      <c r="N12" s="34">
        <v>2</v>
      </c>
      <c r="O12" s="34">
        <v>1</v>
      </c>
      <c r="P12" s="34">
        <v>3</v>
      </c>
      <c r="Q12" s="34">
        <v>2</v>
      </c>
      <c r="R12" s="34">
        <f t="shared" si="0"/>
        <v>1</v>
      </c>
      <c r="S12" s="34">
        <v>1</v>
      </c>
      <c r="T12" s="29"/>
      <c r="U12" s="29"/>
      <c r="V12" s="34">
        <v>4</v>
      </c>
      <c r="W12" s="34">
        <v>3</v>
      </c>
      <c r="X12" s="34">
        <v>3</v>
      </c>
      <c r="Y12" s="34">
        <v>3</v>
      </c>
      <c r="Z12" s="34">
        <v>2</v>
      </c>
      <c r="AA12" s="34">
        <v>3</v>
      </c>
      <c r="AB12" s="34">
        <v>2</v>
      </c>
      <c r="AC12" s="34">
        <v>1</v>
      </c>
      <c r="AD12" s="38"/>
      <c r="AE12" s="42">
        <v>3</v>
      </c>
      <c r="AF12" s="42">
        <v>4</v>
      </c>
      <c r="AG12" s="42">
        <v>3</v>
      </c>
      <c r="AH12" s="42">
        <v>3</v>
      </c>
      <c r="AI12" s="42">
        <v>3</v>
      </c>
      <c r="AJ12" s="42">
        <v>3</v>
      </c>
      <c r="AK12" s="42">
        <v>3</v>
      </c>
      <c r="AL12" s="29"/>
      <c r="AM12" s="32"/>
    </row>
    <row r="13" spans="1:39" ht="25.5" x14ac:dyDescent="0.35">
      <c r="A13" s="26" t="s">
        <v>128</v>
      </c>
      <c r="B13" s="47" t="s">
        <v>116</v>
      </c>
      <c r="C13" s="49" t="s">
        <v>143</v>
      </c>
      <c r="D13" s="49" t="s">
        <v>144</v>
      </c>
      <c r="E13" t="s">
        <v>156</v>
      </c>
      <c r="F13" s="45">
        <v>45559.615260624996</v>
      </c>
      <c r="G13" s="2" t="s">
        <v>0</v>
      </c>
      <c r="H13" s="2" t="s">
        <v>1</v>
      </c>
      <c r="I13" s="35">
        <v>3</v>
      </c>
      <c r="J13" s="35">
        <v>3</v>
      </c>
      <c r="K13" s="35">
        <v>2</v>
      </c>
      <c r="L13" s="35">
        <v>4</v>
      </c>
      <c r="M13" s="35">
        <v>4</v>
      </c>
      <c r="N13" s="35">
        <v>2</v>
      </c>
      <c r="O13" s="35">
        <v>2</v>
      </c>
      <c r="P13" s="35">
        <v>3</v>
      </c>
      <c r="Q13" s="35">
        <v>3</v>
      </c>
      <c r="R13" s="35">
        <f t="shared" si="0"/>
        <v>2</v>
      </c>
      <c r="S13" s="35">
        <v>2</v>
      </c>
      <c r="T13" s="30"/>
      <c r="U13" s="30"/>
      <c r="V13" s="35">
        <v>3</v>
      </c>
      <c r="W13" s="35">
        <v>2</v>
      </c>
      <c r="X13" s="35">
        <v>3</v>
      </c>
      <c r="Y13" s="35">
        <v>3</v>
      </c>
      <c r="Z13" s="35">
        <v>2</v>
      </c>
      <c r="AA13" s="35">
        <v>3</v>
      </c>
      <c r="AB13" s="35">
        <v>3</v>
      </c>
      <c r="AC13" s="35">
        <v>2</v>
      </c>
      <c r="AD13" s="39"/>
      <c r="AE13" s="41">
        <v>3</v>
      </c>
      <c r="AF13" s="41">
        <v>2</v>
      </c>
      <c r="AG13" s="41">
        <v>4</v>
      </c>
      <c r="AH13" s="41">
        <v>4</v>
      </c>
      <c r="AI13" s="41">
        <v>3</v>
      </c>
      <c r="AJ13" s="41">
        <v>4</v>
      </c>
      <c r="AK13" s="41">
        <v>3</v>
      </c>
      <c r="AL13" s="30"/>
      <c r="AM13" s="33"/>
    </row>
    <row r="14" spans="1:39" ht="25.5" x14ac:dyDescent="0.35">
      <c r="A14" s="26" t="s">
        <v>129</v>
      </c>
      <c r="B14" s="47" t="s">
        <v>116</v>
      </c>
      <c r="C14" s="49" t="s">
        <v>143</v>
      </c>
      <c r="D14" s="49" t="s">
        <v>144</v>
      </c>
      <c r="E14" t="s">
        <v>157</v>
      </c>
      <c r="F14" s="44">
        <v>45559.615376307869</v>
      </c>
      <c r="G14" s="1" t="s">
        <v>28</v>
      </c>
      <c r="H14" s="1" t="s">
        <v>29</v>
      </c>
      <c r="I14" s="34">
        <v>1</v>
      </c>
      <c r="J14" s="34">
        <v>2</v>
      </c>
      <c r="K14" s="34">
        <v>2</v>
      </c>
      <c r="L14" s="34">
        <v>1</v>
      </c>
      <c r="M14" s="34">
        <v>1</v>
      </c>
      <c r="N14" s="34">
        <v>1</v>
      </c>
      <c r="O14" s="34">
        <v>3</v>
      </c>
      <c r="P14" s="34">
        <v>3</v>
      </c>
      <c r="Q14" s="34">
        <v>1</v>
      </c>
      <c r="R14" s="34">
        <f t="shared" si="0"/>
        <v>3</v>
      </c>
      <c r="S14" s="34">
        <v>3</v>
      </c>
      <c r="T14" s="29" t="s">
        <v>30</v>
      </c>
      <c r="U14" s="29"/>
      <c r="V14" s="34">
        <v>3</v>
      </c>
      <c r="W14" s="34">
        <v>1</v>
      </c>
      <c r="X14" s="34">
        <v>1</v>
      </c>
      <c r="Y14" s="34">
        <v>1</v>
      </c>
      <c r="Z14" s="34">
        <v>1</v>
      </c>
      <c r="AA14" s="34">
        <v>2</v>
      </c>
      <c r="AB14" s="34">
        <v>1</v>
      </c>
      <c r="AC14" s="34">
        <v>2</v>
      </c>
      <c r="AD14" s="38"/>
      <c r="AE14" s="42">
        <v>3</v>
      </c>
      <c r="AF14" s="42">
        <v>2</v>
      </c>
      <c r="AG14" s="42">
        <v>2</v>
      </c>
      <c r="AH14" s="42">
        <v>2</v>
      </c>
      <c r="AI14" s="42">
        <v>3</v>
      </c>
      <c r="AJ14" s="42">
        <v>3</v>
      </c>
      <c r="AK14" s="42">
        <v>4</v>
      </c>
      <c r="AL14" s="29"/>
      <c r="AM14" s="32"/>
    </row>
    <row r="15" spans="1:39" ht="38.25" x14ac:dyDescent="0.35">
      <c r="A15" s="26" t="s">
        <v>130</v>
      </c>
      <c r="B15" s="47" t="s">
        <v>116</v>
      </c>
      <c r="C15" s="49" t="s">
        <v>143</v>
      </c>
      <c r="D15" s="49" t="s">
        <v>144</v>
      </c>
      <c r="E15" t="s">
        <v>158</v>
      </c>
      <c r="F15" s="45">
        <v>45559.615616759256</v>
      </c>
      <c r="G15" s="2" t="s">
        <v>20</v>
      </c>
      <c r="H15" s="2" t="s">
        <v>21</v>
      </c>
      <c r="I15" s="35">
        <v>2</v>
      </c>
      <c r="J15" s="35">
        <v>5</v>
      </c>
      <c r="K15" s="35">
        <v>3</v>
      </c>
      <c r="L15" s="35">
        <v>2</v>
      </c>
      <c r="M15" s="35">
        <v>5</v>
      </c>
      <c r="N15" s="35">
        <v>2</v>
      </c>
      <c r="O15" s="35">
        <v>1</v>
      </c>
      <c r="P15" s="35">
        <v>2</v>
      </c>
      <c r="Q15" s="35">
        <v>5</v>
      </c>
      <c r="R15" s="35">
        <f t="shared" si="0"/>
        <v>3</v>
      </c>
      <c r="S15" s="35">
        <v>3</v>
      </c>
      <c r="T15" s="30"/>
      <c r="U15" s="30"/>
      <c r="V15" s="35">
        <v>3</v>
      </c>
      <c r="W15" s="35">
        <v>3</v>
      </c>
      <c r="X15" s="35">
        <v>2</v>
      </c>
      <c r="Y15" s="35">
        <v>5</v>
      </c>
      <c r="Z15" s="35">
        <v>3</v>
      </c>
      <c r="AA15" s="35">
        <v>2</v>
      </c>
      <c r="AB15" s="35">
        <v>5</v>
      </c>
      <c r="AC15" s="35">
        <v>3</v>
      </c>
      <c r="AD15" s="39"/>
      <c r="AE15" s="41">
        <v>4</v>
      </c>
      <c r="AF15" s="41">
        <v>3</v>
      </c>
      <c r="AG15" s="41">
        <v>3</v>
      </c>
      <c r="AH15" s="41">
        <v>4</v>
      </c>
      <c r="AI15" s="41">
        <v>4</v>
      </c>
      <c r="AJ15" s="41">
        <v>5</v>
      </c>
      <c r="AK15" s="41">
        <v>5</v>
      </c>
      <c r="AL15" s="30" t="s">
        <v>31</v>
      </c>
      <c r="AM15" s="33"/>
    </row>
    <row r="16" spans="1:39" ht="89.25" x14ac:dyDescent="0.35">
      <c r="A16" s="26" t="s">
        <v>131</v>
      </c>
      <c r="B16" s="47" t="s">
        <v>116</v>
      </c>
      <c r="C16" s="49" t="s">
        <v>143</v>
      </c>
      <c r="D16" s="49" t="s">
        <v>144</v>
      </c>
      <c r="E16" t="s">
        <v>159</v>
      </c>
      <c r="F16" s="44">
        <v>45559.615950868058</v>
      </c>
      <c r="G16" s="1" t="s">
        <v>14</v>
      </c>
      <c r="H16" s="1" t="s">
        <v>15</v>
      </c>
      <c r="I16" s="34">
        <v>2</v>
      </c>
      <c r="J16" s="34">
        <v>1</v>
      </c>
      <c r="K16" s="34">
        <v>3</v>
      </c>
      <c r="L16" s="34">
        <v>1</v>
      </c>
      <c r="M16" s="34">
        <v>3</v>
      </c>
      <c r="N16" s="34">
        <v>2</v>
      </c>
      <c r="O16" s="34">
        <v>1</v>
      </c>
      <c r="P16" s="34">
        <v>3</v>
      </c>
      <c r="Q16" s="34">
        <v>3</v>
      </c>
      <c r="R16" s="34">
        <f t="shared" si="0"/>
        <v>3</v>
      </c>
      <c r="S16" s="34">
        <v>3</v>
      </c>
      <c r="T16" s="29"/>
      <c r="U16" s="29"/>
      <c r="V16" s="34">
        <v>2</v>
      </c>
      <c r="W16" s="34">
        <v>3</v>
      </c>
      <c r="X16" s="34">
        <v>1</v>
      </c>
      <c r="Y16" s="34">
        <v>3</v>
      </c>
      <c r="Z16" s="34">
        <v>2</v>
      </c>
      <c r="AA16" s="34">
        <v>4</v>
      </c>
      <c r="AB16" s="34">
        <v>3</v>
      </c>
      <c r="AC16" s="34">
        <v>4</v>
      </c>
      <c r="AD16" s="38"/>
      <c r="AE16" s="42">
        <v>2</v>
      </c>
      <c r="AF16" s="42">
        <v>5</v>
      </c>
      <c r="AG16" s="42">
        <v>1</v>
      </c>
      <c r="AH16" s="42">
        <v>3</v>
      </c>
      <c r="AI16" s="42">
        <v>3</v>
      </c>
      <c r="AJ16" s="42">
        <v>3</v>
      </c>
      <c r="AK16" s="42">
        <v>4</v>
      </c>
      <c r="AL16" s="29" t="s">
        <v>32</v>
      </c>
      <c r="AM16" s="32"/>
    </row>
    <row r="17" spans="1:39" ht="25.5" x14ac:dyDescent="0.35">
      <c r="A17" s="26" t="s">
        <v>132</v>
      </c>
      <c r="B17" s="47" t="s">
        <v>116</v>
      </c>
      <c r="C17" s="49" t="s">
        <v>143</v>
      </c>
      <c r="D17" s="49" t="s">
        <v>144</v>
      </c>
      <c r="E17" t="s">
        <v>160</v>
      </c>
      <c r="F17" s="45">
        <v>45559.616860740745</v>
      </c>
      <c r="G17" s="2" t="s">
        <v>10</v>
      </c>
      <c r="H17" s="2" t="s">
        <v>11</v>
      </c>
      <c r="I17" s="35">
        <v>3</v>
      </c>
      <c r="J17" s="35">
        <v>3</v>
      </c>
      <c r="K17" s="35">
        <v>1</v>
      </c>
      <c r="L17" s="35">
        <v>3</v>
      </c>
      <c r="M17" s="35">
        <v>3</v>
      </c>
      <c r="N17" s="35">
        <v>2</v>
      </c>
      <c r="O17" s="35">
        <v>3</v>
      </c>
      <c r="P17" s="35">
        <v>3</v>
      </c>
      <c r="Q17" s="35">
        <v>2</v>
      </c>
      <c r="R17" s="35">
        <f t="shared" si="0"/>
        <v>3</v>
      </c>
      <c r="S17" s="35">
        <v>3</v>
      </c>
      <c r="T17" s="30" t="s">
        <v>33</v>
      </c>
      <c r="U17" s="30"/>
      <c r="V17" s="35">
        <v>3</v>
      </c>
      <c r="W17" s="35">
        <v>2</v>
      </c>
      <c r="X17" s="35">
        <v>3</v>
      </c>
      <c r="Y17" s="35">
        <v>3</v>
      </c>
      <c r="Z17" s="35">
        <v>2</v>
      </c>
      <c r="AA17" s="35">
        <v>3</v>
      </c>
      <c r="AB17" s="35">
        <v>2</v>
      </c>
      <c r="AC17" s="35">
        <v>3</v>
      </c>
      <c r="AD17" s="39"/>
      <c r="AE17" s="41">
        <v>2</v>
      </c>
      <c r="AF17" s="41">
        <v>5</v>
      </c>
      <c r="AG17" s="41">
        <v>3</v>
      </c>
      <c r="AH17" s="41">
        <v>4</v>
      </c>
      <c r="AI17" s="41">
        <v>4</v>
      </c>
      <c r="AJ17" s="41">
        <v>4</v>
      </c>
      <c r="AK17" s="41">
        <v>5</v>
      </c>
      <c r="AL17" s="30"/>
      <c r="AM17" s="33"/>
    </row>
    <row r="18" spans="1:39" ht="25.5" x14ac:dyDescent="0.35">
      <c r="A18" s="26" t="s">
        <v>133</v>
      </c>
      <c r="B18" s="47" t="s">
        <v>116</v>
      </c>
      <c r="C18" s="49" t="s">
        <v>143</v>
      </c>
      <c r="D18" s="49" t="s">
        <v>144</v>
      </c>
      <c r="E18" t="s">
        <v>161</v>
      </c>
      <c r="F18" s="44">
        <v>45559.618776793985</v>
      </c>
      <c r="G18" s="1" t="s">
        <v>20</v>
      </c>
      <c r="H18" s="1" t="s">
        <v>21</v>
      </c>
      <c r="I18" s="34">
        <v>3</v>
      </c>
      <c r="J18" s="34">
        <v>3</v>
      </c>
      <c r="K18" s="34">
        <v>2</v>
      </c>
      <c r="L18" s="34">
        <v>3</v>
      </c>
      <c r="M18" s="34">
        <v>3</v>
      </c>
      <c r="N18" s="34">
        <v>3</v>
      </c>
      <c r="O18" s="34">
        <v>1</v>
      </c>
      <c r="P18" s="34">
        <v>3</v>
      </c>
      <c r="Q18" s="34">
        <v>3</v>
      </c>
      <c r="R18" s="34">
        <f t="shared" si="0"/>
        <v>4</v>
      </c>
      <c r="S18" s="34">
        <v>4</v>
      </c>
      <c r="T18" s="29" t="s">
        <v>34</v>
      </c>
      <c r="U18" s="29"/>
      <c r="V18" s="34">
        <v>2</v>
      </c>
      <c r="W18" s="34">
        <v>3</v>
      </c>
      <c r="X18" s="34">
        <v>4</v>
      </c>
      <c r="Y18" s="34">
        <v>4</v>
      </c>
      <c r="Z18" s="34">
        <v>3</v>
      </c>
      <c r="AA18" s="34">
        <v>2</v>
      </c>
      <c r="AB18" s="34">
        <v>3</v>
      </c>
      <c r="AC18" s="34">
        <v>3</v>
      </c>
      <c r="AD18" s="38"/>
      <c r="AE18" s="42">
        <v>3</v>
      </c>
      <c r="AF18" s="42">
        <v>2</v>
      </c>
      <c r="AG18" s="42">
        <v>3</v>
      </c>
      <c r="AH18" s="42">
        <v>3</v>
      </c>
      <c r="AI18" s="42">
        <v>2</v>
      </c>
      <c r="AJ18" s="42">
        <v>3</v>
      </c>
      <c r="AK18" s="42">
        <v>3</v>
      </c>
      <c r="AL18" s="29" t="s">
        <v>35</v>
      </c>
      <c r="AM18" s="32"/>
    </row>
    <row r="19" spans="1:39" ht="65.650000000000006" x14ac:dyDescent="0.35">
      <c r="A19" s="26" t="s">
        <v>134</v>
      </c>
      <c r="B19" s="47" t="s">
        <v>116</v>
      </c>
      <c r="C19" s="49" t="s">
        <v>143</v>
      </c>
      <c r="D19" s="49" t="s">
        <v>144</v>
      </c>
      <c r="E19" t="s">
        <v>162</v>
      </c>
      <c r="F19" s="45">
        <v>45559.619784062495</v>
      </c>
      <c r="G19" s="2" t="s">
        <v>4</v>
      </c>
      <c r="H19" s="2" t="s">
        <v>5</v>
      </c>
      <c r="I19" s="35">
        <v>3</v>
      </c>
      <c r="J19" s="35">
        <v>1</v>
      </c>
      <c r="K19" s="35">
        <v>1</v>
      </c>
      <c r="L19" s="35">
        <v>1</v>
      </c>
      <c r="M19" s="35">
        <v>1</v>
      </c>
      <c r="N19" s="35">
        <v>1</v>
      </c>
      <c r="O19" s="35">
        <v>1</v>
      </c>
      <c r="P19" s="35">
        <v>3</v>
      </c>
      <c r="Q19" s="35">
        <v>1</v>
      </c>
      <c r="R19" s="35">
        <f t="shared" si="0"/>
        <v>4</v>
      </c>
      <c r="S19" s="35">
        <v>4</v>
      </c>
      <c r="T19" s="30"/>
      <c r="U19" s="30"/>
      <c r="V19" s="35">
        <v>3</v>
      </c>
      <c r="W19" s="35">
        <v>2</v>
      </c>
      <c r="X19" s="35">
        <v>1</v>
      </c>
      <c r="Y19" s="35">
        <v>2</v>
      </c>
      <c r="Z19" s="35">
        <v>1</v>
      </c>
      <c r="AA19" s="35">
        <v>3</v>
      </c>
      <c r="AB19" s="35">
        <v>1</v>
      </c>
      <c r="AC19" s="35" t="s">
        <v>12</v>
      </c>
      <c r="AD19" s="39" t="s">
        <v>36</v>
      </c>
      <c r="AE19" s="41">
        <v>3</v>
      </c>
      <c r="AF19" s="41">
        <v>3</v>
      </c>
      <c r="AG19" s="41">
        <v>1</v>
      </c>
      <c r="AH19" s="41">
        <v>2</v>
      </c>
      <c r="AI19" s="41">
        <v>3</v>
      </c>
      <c r="AJ19" s="41">
        <v>3</v>
      </c>
      <c r="AK19" s="41">
        <v>3</v>
      </c>
      <c r="AL19" s="30" t="s">
        <v>37</v>
      </c>
      <c r="AM19" s="33" t="s">
        <v>38</v>
      </c>
    </row>
    <row r="20" spans="1:39" ht="25.5" x14ac:dyDescent="0.35">
      <c r="A20" s="26" t="s">
        <v>135</v>
      </c>
      <c r="B20" s="47" t="s">
        <v>116</v>
      </c>
      <c r="C20" s="49" t="s">
        <v>143</v>
      </c>
      <c r="D20" s="49" t="s">
        <v>144</v>
      </c>
      <c r="E20" t="s">
        <v>163</v>
      </c>
      <c r="F20" s="44">
        <v>45559.619796678242</v>
      </c>
      <c r="G20" s="1" t="s">
        <v>28</v>
      </c>
      <c r="H20" s="1" t="s">
        <v>39</v>
      </c>
      <c r="I20" s="34">
        <v>2</v>
      </c>
      <c r="J20" s="34">
        <v>3</v>
      </c>
      <c r="K20" s="34">
        <v>1</v>
      </c>
      <c r="L20" s="34">
        <v>2</v>
      </c>
      <c r="M20" s="34">
        <v>2</v>
      </c>
      <c r="N20" s="34">
        <v>2</v>
      </c>
      <c r="O20" s="34">
        <v>2</v>
      </c>
      <c r="P20" s="34">
        <v>3</v>
      </c>
      <c r="Q20" s="34">
        <v>2</v>
      </c>
      <c r="R20" s="34">
        <f t="shared" si="0"/>
        <v>2</v>
      </c>
      <c r="S20" s="34">
        <v>2</v>
      </c>
      <c r="T20" s="29" t="s">
        <v>40</v>
      </c>
      <c r="U20" s="29" t="s">
        <v>41</v>
      </c>
      <c r="V20" s="34">
        <v>3</v>
      </c>
      <c r="W20" s="34">
        <v>1</v>
      </c>
      <c r="X20" s="34">
        <v>3</v>
      </c>
      <c r="Y20" s="34">
        <v>3</v>
      </c>
      <c r="Z20" s="34">
        <v>3</v>
      </c>
      <c r="AA20" s="34">
        <v>3</v>
      </c>
      <c r="AB20" s="34">
        <v>2</v>
      </c>
      <c r="AC20" s="34">
        <v>2</v>
      </c>
      <c r="AD20" s="38" t="s">
        <v>42</v>
      </c>
      <c r="AE20" s="42">
        <v>4</v>
      </c>
      <c r="AF20" s="42">
        <v>3</v>
      </c>
      <c r="AG20" s="42">
        <v>2</v>
      </c>
      <c r="AH20" s="42">
        <v>3</v>
      </c>
      <c r="AI20" s="42">
        <v>4</v>
      </c>
      <c r="AJ20" s="42">
        <v>4</v>
      </c>
      <c r="AK20" s="42">
        <v>4</v>
      </c>
      <c r="AL20" s="29"/>
      <c r="AM20" s="32"/>
    </row>
    <row r="21" spans="1:39" ht="25.5" x14ac:dyDescent="0.35">
      <c r="A21" s="26" t="s">
        <v>136</v>
      </c>
      <c r="B21" s="47" t="s">
        <v>116</v>
      </c>
      <c r="C21" s="49" t="s">
        <v>143</v>
      </c>
      <c r="D21" s="49" t="s">
        <v>144</v>
      </c>
      <c r="E21" t="s">
        <v>164</v>
      </c>
      <c r="F21" s="45">
        <v>45559.619939629629</v>
      </c>
      <c r="G21" s="2" t="s">
        <v>10</v>
      </c>
      <c r="H21" s="2" t="s">
        <v>43</v>
      </c>
      <c r="I21" s="35">
        <v>1</v>
      </c>
      <c r="J21" s="35">
        <v>2</v>
      </c>
      <c r="K21" s="35">
        <v>2</v>
      </c>
      <c r="L21" s="35">
        <v>3</v>
      </c>
      <c r="M21" s="35">
        <v>3</v>
      </c>
      <c r="N21" s="35">
        <v>2</v>
      </c>
      <c r="O21" s="35">
        <v>1</v>
      </c>
      <c r="P21" s="35">
        <v>3</v>
      </c>
      <c r="Q21" s="35">
        <v>3</v>
      </c>
      <c r="R21" s="35">
        <f t="shared" si="0"/>
        <v>2</v>
      </c>
      <c r="S21" s="35">
        <v>2</v>
      </c>
      <c r="T21" s="30" t="s">
        <v>44</v>
      </c>
      <c r="U21" s="30"/>
      <c r="V21" s="35">
        <v>2</v>
      </c>
      <c r="W21" s="35">
        <v>1</v>
      </c>
      <c r="X21" s="35">
        <v>3</v>
      </c>
      <c r="Y21" s="35">
        <v>3</v>
      </c>
      <c r="Z21" s="35">
        <v>2</v>
      </c>
      <c r="AA21" s="35">
        <v>2</v>
      </c>
      <c r="AB21" s="35">
        <v>1</v>
      </c>
      <c r="AC21" s="35">
        <v>3</v>
      </c>
      <c r="AD21" s="39"/>
      <c r="AE21" s="41">
        <v>1</v>
      </c>
      <c r="AF21" s="41">
        <v>5</v>
      </c>
      <c r="AG21" s="41">
        <v>3</v>
      </c>
      <c r="AH21" s="41">
        <v>3</v>
      </c>
      <c r="AI21" s="41">
        <v>4</v>
      </c>
      <c r="AJ21" s="41">
        <v>3</v>
      </c>
      <c r="AK21" s="41">
        <v>4</v>
      </c>
      <c r="AL21" s="30"/>
      <c r="AM21" s="33"/>
    </row>
    <row r="22" spans="1:39" ht="25.5" x14ac:dyDescent="0.35">
      <c r="A22" s="26" t="s">
        <v>137</v>
      </c>
      <c r="B22" s="47" t="s">
        <v>116</v>
      </c>
      <c r="C22" s="49" t="s">
        <v>143</v>
      </c>
      <c r="D22" s="49" t="s">
        <v>144</v>
      </c>
      <c r="E22" t="s">
        <v>165</v>
      </c>
      <c r="F22" s="44">
        <v>45559.620859872681</v>
      </c>
      <c r="G22" s="1" t="s">
        <v>25</v>
      </c>
      <c r="H22" s="1" t="s">
        <v>45</v>
      </c>
      <c r="I22" s="34">
        <v>2</v>
      </c>
      <c r="J22" s="34">
        <v>2</v>
      </c>
      <c r="K22" s="34">
        <v>1</v>
      </c>
      <c r="L22" s="34">
        <v>2</v>
      </c>
      <c r="M22" s="34">
        <v>3</v>
      </c>
      <c r="N22" s="34">
        <v>1</v>
      </c>
      <c r="O22" s="34">
        <v>1</v>
      </c>
      <c r="P22" s="34">
        <v>3</v>
      </c>
      <c r="Q22" s="34">
        <v>4</v>
      </c>
      <c r="R22" s="34">
        <f t="shared" si="0"/>
        <v>2</v>
      </c>
      <c r="S22" s="34">
        <v>2</v>
      </c>
      <c r="T22" s="29"/>
      <c r="U22" s="29"/>
      <c r="V22" s="34">
        <v>3</v>
      </c>
      <c r="W22" s="34">
        <v>1</v>
      </c>
      <c r="X22" s="34">
        <v>2</v>
      </c>
      <c r="Y22" s="34">
        <v>2</v>
      </c>
      <c r="Z22" s="34">
        <v>1</v>
      </c>
      <c r="AA22" s="34">
        <v>2</v>
      </c>
      <c r="AB22" s="34">
        <v>1</v>
      </c>
      <c r="AC22" s="34">
        <v>1</v>
      </c>
      <c r="AD22" s="38"/>
      <c r="AE22" s="42">
        <v>1</v>
      </c>
      <c r="AF22" s="42">
        <v>3</v>
      </c>
      <c r="AG22" s="42">
        <v>2</v>
      </c>
      <c r="AH22" s="42">
        <v>2</v>
      </c>
      <c r="AI22" s="42">
        <v>2</v>
      </c>
      <c r="AJ22" s="42">
        <v>2</v>
      </c>
      <c r="AK22" s="42">
        <v>2</v>
      </c>
      <c r="AL22" s="29" t="s">
        <v>46</v>
      </c>
      <c r="AM22" s="32"/>
    </row>
    <row r="23" spans="1:39" ht="76.5" x14ac:dyDescent="0.35">
      <c r="A23" s="26" t="s">
        <v>138</v>
      </c>
      <c r="B23" s="47" t="s">
        <v>116</v>
      </c>
      <c r="C23" s="49" t="s">
        <v>143</v>
      </c>
      <c r="D23" s="49" t="s">
        <v>144</v>
      </c>
      <c r="E23" t="s">
        <v>166</v>
      </c>
      <c r="F23" s="45">
        <v>45559.622653935185</v>
      </c>
      <c r="G23" s="2" t="s">
        <v>14</v>
      </c>
      <c r="H23" s="2" t="s">
        <v>15</v>
      </c>
      <c r="I23" s="35">
        <v>3</v>
      </c>
      <c r="J23" s="35">
        <v>1</v>
      </c>
      <c r="K23" s="35">
        <v>3</v>
      </c>
      <c r="L23" s="35">
        <v>1</v>
      </c>
      <c r="M23" s="35">
        <v>3</v>
      </c>
      <c r="N23" s="35">
        <v>2</v>
      </c>
      <c r="O23" s="35">
        <v>1</v>
      </c>
      <c r="P23" s="35">
        <v>4</v>
      </c>
      <c r="Q23" s="35">
        <v>4</v>
      </c>
      <c r="R23" s="35">
        <f t="shared" si="0"/>
        <v>2</v>
      </c>
      <c r="S23" s="35">
        <v>2</v>
      </c>
      <c r="T23" s="30"/>
      <c r="U23" s="30"/>
      <c r="V23" s="35">
        <v>1</v>
      </c>
      <c r="W23" s="35">
        <v>3</v>
      </c>
      <c r="X23" s="35">
        <v>1</v>
      </c>
      <c r="Y23" s="35">
        <v>3</v>
      </c>
      <c r="Z23" s="35">
        <v>2</v>
      </c>
      <c r="AA23" s="35">
        <v>4</v>
      </c>
      <c r="AB23" s="35">
        <v>3</v>
      </c>
      <c r="AC23" s="35">
        <v>3</v>
      </c>
      <c r="AD23" s="39"/>
      <c r="AE23" s="41">
        <v>1</v>
      </c>
      <c r="AF23" s="41">
        <v>5</v>
      </c>
      <c r="AG23" s="41">
        <v>1</v>
      </c>
      <c r="AH23" s="41">
        <v>3</v>
      </c>
      <c r="AI23" s="41">
        <v>3</v>
      </c>
      <c r="AJ23" s="41">
        <v>3</v>
      </c>
      <c r="AK23" s="41">
        <v>3</v>
      </c>
      <c r="AL23" s="30" t="s">
        <v>47</v>
      </c>
      <c r="AM23" s="33"/>
    </row>
    <row r="24" spans="1:39" ht="25.5" x14ac:dyDescent="0.35">
      <c r="A24" s="26" t="s">
        <v>139</v>
      </c>
      <c r="B24" s="47" t="s">
        <v>116</v>
      </c>
      <c r="C24" s="49" t="s">
        <v>143</v>
      </c>
      <c r="D24" s="49" t="s">
        <v>144</v>
      </c>
      <c r="E24" t="s">
        <v>167</v>
      </c>
      <c r="F24" s="44">
        <v>45559.625760682873</v>
      </c>
      <c r="G24" s="1" t="s">
        <v>48</v>
      </c>
      <c r="H24" s="1" t="s">
        <v>49</v>
      </c>
      <c r="I24" s="34">
        <v>1</v>
      </c>
      <c r="J24" s="34">
        <v>2</v>
      </c>
      <c r="K24" s="34">
        <v>1</v>
      </c>
      <c r="L24" s="34">
        <v>3</v>
      </c>
      <c r="M24" s="34">
        <v>2</v>
      </c>
      <c r="N24" s="34">
        <v>1</v>
      </c>
      <c r="O24" s="34">
        <v>3</v>
      </c>
      <c r="P24" s="34">
        <v>2</v>
      </c>
      <c r="Q24" s="34">
        <v>1</v>
      </c>
      <c r="R24" s="34">
        <f t="shared" si="0"/>
        <v>1</v>
      </c>
      <c r="S24" s="34">
        <v>1</v>
      </c>
      <c r="T24" s="29" t="s">
        <v>50</v>
      </c>
      <c r="U24" s="29" t="s">
        <v>51</v>
      </c>
      <c r="V24" s="34">
        <v>2</v>
      </c>
      <c r="W24" s="34">
        <v>1</v>
      </c>
      <c r="X24" s="34">
        <v>2</v>
      </c>
      <c r="Y24" s="34">
        <v>2</v>
      </c>
      <c r="Z24" s="34">
        <v>1</v>
      </c>
      <c r="AA24" s="34">
        <v>3</v>
      </c>
      <c r="AB24" s="34">
        <v>2</v>
      </c>
      <c r="AC24" s="34">
        <v>1</v>
      </c>
      <c r="AD24" s="38" t="s">
        <v>52</v>
      </c>
      <c r="AE24" s="42">
        <v>2</v>
      </c>
      <c r="AF24" s="42">
        <v>3</v>
      </c>
      <c r="AG24" s="42">
        <v>1</v>
      </c>
      <c r="AH24" s="42">
        <v>2</v>
      </c>
      <c r="AI24" s="42">
        <v>2</v>
      </c>
      <c r="AJ24" s="42">
        <v>3</v>
      </c>
      <c r="AK24" s="42">
        <v>4</v>
      </c>
      <c r="AL24" s="29" t="s">
        <v>53</v>
      </c>
      <c r="AM24" s="32" t="s">
        <v>54</v>
      </c>
    </row>
    <row r="25" spans="1:39" ht="25.5" x14ac:dyDescent="0.35">
      <c r="A25" s="26" t="s">
        <v>140</v>
      </c>
      <c r="B25" s="47" t="s">
        <v>116</v>
      </c>
      <c r="C25" s="49" t="s">
        <v>143</v>
      </c>
      <c r="D25" s="49" t="s">
        <v>144</v>
      </c>
      <c r="E25" t="s">
        <v>168</v>
      </c>
      <c r="F25" s="45">
        <v>45559.628825613428</v>
      </c>
      <c r="G25" s="2" t="s">
        <v>25</v>
      </c>
      <c r="H25" s="2" t="s">
        <v>45</v>
      </c>
      <c r="I25" s="35">
        <v>3</v>
      </c>
      <c r="J25" s="35">
        <v>2</v>
      </c>
      <c r="K25" s="35">
        <v>1</v>
      </c>
      <c r="L25" s="35">
        <v>2</v>
      </c>
      <c r="M25" s="35">
        <v>3</v>
      </c>
      <c r="N25" s="35">
        <v>1</v>
      </c>
      <c r="O25" s="35">
        <v>1</v>
      </c>
      <c r="P25" s="35">
        <v>1</v>
      </c>
      <c r="Q25" s="35">
        <v>2</v>
      </c>
      <c r="R25" s="35">
        <f t="shared" si="0"/>
        <v>2</v>
      </c>
      <c r="S25" s="35">
        <v>2</v>
      </c>
      <c r="T25" s="30"/>
      <c r="U25" s="30"/>
      <c r="V25" s="35">
        <v>2</v>
      </c>
      <c r="W25" s="35">
        <v>1</v>
      </c>
      <c r="X25" s="35">
        <v>3</v>
      </c>
      <c r="Y25" s="35">
        <v>2</v>
      </c>
      <c r="Z25" s="35">
        <v>1</v>
      </c>
      <c r="AA25" s="35">
        <v>3</v>
      </c>
      <c r="AB25" s="35">
        <v>2</v>
      </c>
      <c r="AC25" s="35">
        <v>2</v>
      </c>
      <c r="AD25" s="39"/>
      <c r="AE25" s="41">
        <v>3</v>
      </c>
      <c r="AF25" s="41">
        <v>3</v>
      </c>
      <c r="AG25" s="41">
        <v>2</v>
      </c>
      <c r="AH25" s="41">
        <v>2</v>
      </c>
      <c r="AI25" s="41">
        <v>3</v>
      </c>
      <c r="AJ25" s="41">
        <v>3</v>
      </c>
      <c r="AK25" s="41">
        <v>2</v>
      </c>
      <c r="AL25" s="30" t="s">
        <v>55</v>
      </c>
      <c r="AM25" s="33"/>
    </row>
    <row r="26" spans="1:39" ht="25.5" x14ac:dyDescent="0.35">
      <c r="A26" s="26" t="s">
        <v>141</v>
      </c>
      <c r="B26" s="47" t="s">
        <v>116</v>
      </c>
      <c r="C26" s="49" t="s">
        <v>143</v>
      </c>
      <c r="D26" s="49" t="s">
        <v>144</v>
      </c>
      <c r="E26" t="s">
        <v>169</v>
      </c>
      <c r="F26" s="44">
        <v>45559.631143842591</v>
      </c>
      <c r="G26" s="1" t="s">
        <v>48</v>
      </c>
      <c r="H26" s="1" t="s">
        <v>49</v>
      </c>
      <c r="I26" s="34">
        <v>2</v>
      </c>
      <c r="J26" s="34">
        <v>2</v>
      </c>
      <c r="K26" s="34">
        <v>1</v>
      </c>
      <c r="L26" s="34">
        <v>1</v>
      </c>
      <c r="M26" s="34">
        <v>2</v>
      </c>
      <c r="N26" s="34">
        <v>1</v>
      </c>
      <c r="O26" s="34">
        <v>3</v>
      </c>
      <c r="P26" s="34">
        <v>4</v>
      </c>
      <c r="Q26" s="34">
        <v>2</v>
      </c>
      <c r="R26" s="34">
        <f t="shared" si="0"/>
        <v>1</v>
      </c>
      <c r="S26" s="34">
        <v>1</v>
      </c>
      <c r="T26" s="29" t="s">
        <v>56</v>
      </c>
      <c r="U26" s="29" t="s">
        <v>57</v>
      </c>
      <c r="V26" s="34">
        <v>3</v>
      </c>
      <c r="W26" s="34">
        <v>1</v>
      </c>
      <c r="X26" s="34">
        <v>2</v>
      </c>
      <c r="Y26" s="34">
        <v>2</v>
      </c>
      <c r="Z26" s="34">
        <v>1</v>
      </c>
      <c r="AA26" s="34">
        <v>3</v>
      </c>
      <c r="AB26" s="34">
        <v>3</v>
      </c>
      <c r="AC26" s="34">
        <v>1</v>
      </c>
      <c r="AD26" s="38" t="s">
        <v>58</v>
      </c>
      <c r="AE26" s="42">
        <v>2</v>
      </c>
      <c r="AF26" s="42">
        <v>3</v>
      </c>
      <c r="AG26" s="42">
        <v>2</v>
      </c>
      <c r="AH26" s="42">
        <v>3</v>
      </c>
      <c r="AI26" s="42">
        <v>5</v>
      </c>
      <c r="AJ26" s="42">
        <v>5</v>
      </c>
      <c r="AK26" s="42">
        <v>5</v>
      </c>
      <c r="AL26" s="29" t="s">
        <v>59</v>
      </c>
      <c r="AM26" s="32" t="s">
        <v>60</v>
      </c>
    </row>
    <row r="27" spans="1:39" ht="25.5" x14ac:dyDescent="0.35">
      <c r="A27" s="26" t="s">
        <v>142</v>
      </c>
      <c r="B27" s="47" t="s">
        <v>116</v>
      </c>
      <c r="C27" s="49" t="s">
        <v>143</v>
      </c>
      <c r="D27" s="49" t="s">
        <v>144</v>
      </c>
      <c r="E27" t="s">
        <v>170</v>
      </c>
      <c r="F27" s="45">
        <v>45559.636186909724</v>
      </c>
      <c r="G27" s="2" t="s">
        <v>48</v>
      </c>
      <c r="H27" s="2" t="s">
        <v>49</v>
      </c>
      <c r="I27" s="35">
        <v>3</v>
      </c>
      <c r="J27" s="35">
        <v>4</v>
      </c>
      <c r="K27" s="35">
        <v>3</v>
      </c>
      <c r="L27" s="35">
        <v>2</v>
      </c>
      <c r="M27" s="35">
        <v>2</v>
      </c>
      <c r="N27" s="35">
        <v>2</v>
      </c>
      <c r="O27" s="35">
        <v>4</v>
      </c>
      <c r="P27" s="35">
        <v>4</v>
      </c>
      <c r="Q27" s="35">
        <v>2</v>
      </c>
      <c r="R27" s="35">
        <f t="shared" si="0"/>
        <v>2</v>
      </c>
      <c r="S27" s="35">
        <v>2</v>
      </c>
      <c r="T27" s="30" t="s">
        <v>61</v>
      </c>
      <c r="U27" s="30" t="s">
        <v>62</v>
      </c>
      <c r="V27" s="35">
        <v>3</v>
      </c>
      <c r="W27" s="35">
        <v>2</v>
      </c>
      <c r="X27" s="35">
        <v>3</v>
      </c>
      <c r="Y27" s="35">
        <v>2</v>
      </c>
      <c r="Z27" s="35">
        <v>2</v>
      </c>
      <c r="AA27" s="35">
        <v>3</v>
      </c>
      <c r="AB27" s="35">
        <v>2</v>
      </c>
      <c r="AC27" s="35">
        <v>1</v>
      </c>
      <c r="AD27" s="39" t="s">
        <v>63</v>
      </c>
      <c r="AE27" s="41">
        <v>4</v>
      </c>
      <c r="AF27" s="41">
        <v>3</v>
      </c>
      <c r="AG27" s="41">
        <v>3</v>
      </c>
      <c r="AH27" s="41">
        <v>3</v>
      </c>
      <c r="AI27" s="41">
        <v>4</v>
      </c>
      <c r="AJ27" s="41">
        <v>4</v>
      </c>
      <c r="AK27" s="41">
        <v>4</v>
      </c>
      <c r="AL27" s="30" t="s">
        <v>64</v>
      </c>
      <c r="AM27" s="33" t="s">
        <v>65</v>
      </c>
    </row>
    <row r="31" spans="1:39" ht="15" x14ac:dyDescent="0.4">
      <c r="A31" s="27"/>
      <c r="B31" s="46"/>
      <c r="C31" s="27"/>
      <c r="D31" s="27"/>
      <c r="E31" s="27"/>
      <c r="F31" s="28"/>
      <c r="G31" s="28"/>
      <c r="H31" s="28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28"/>
      <c r="U31" s="28"/>
      <c r="V31" s="37"/>
      <c r="W31" s="37"/>
      <c r="X31" s="37"/>
      <c r="Y31" s="37"/>
      <c r="Z31" s="37"/>
      <c r="AA31" s="37"/>
      <c r="AB31" s="37"/>
      <c r="AC31" s="37"/>
      <c r="AD31" s="28"/>
      <c r="AE31" s="37"/>
      <c r="AF31" s="37"/>
      <c r="AG31" s="37"/>
      <c r="AH31" s="37"/>
      <c r="AI31" s="37"/>
      <c r="AJ31" s="37"/>
      <c r="AK31" s="37"/>
      <c r="AL31" s="28"/>
      <c r="AM31" s="28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92A9-4C00-4E45-BD73-F5A984A5E8C0}">
  <dimension ref="A1:AD31"/>
  <sheetViews>
    <sheetView topLeftCell="L31" zoomScale="70" zoomScaleNormal="70" workbookViewId="0">
      <selection activeCell="T63" sqref="T63"/>
    </sheetView>
  </sheetViews>
  <sheetFormatPr baseColWidth="10" defaultRowHeight="12.75" x14ac:dyDescent="0.35"/>
  <cols>
    <col min="1" max="1" width="33.6640625" customWidth="1"/>
    <col min="2" max="2" width="17.3984375" bestFit="1" customWidth="1"/>
    <col min="3" max="3" width="21.1328125" bestFit="1" customWidth="1"/>
    <col min="4" max="4" width="21.46484375" bestFit="1" customWidth="1"/>
    <col min="5" max="5" width="18.46484375" bestFit="1" customWidth="1"/>
    <col min="6" max="6" width="24" bestFit="1" customWidth="1"/>
    <col min="7" max="7" width="14.86328125" bestFit="1" customWidth="1"/>
    <col min="8" max="8" width="14.6640625" bestFit="1" customWidth="1"/>
    <col min="9" max="9" width="16.06640625" bestFit="1" customWidth="1"/>
    <col min="10" max="10" width="18.33203125" bestFit="1" customWidth="1"/>
    <col min="11" max="11" width="17.1328125" bestFit="1" customWidth="1"/>
    <col min="12" max="12" width="36.46484375" bestFit="1" customWidth="1"/>
    <col min="13" max="13" width="38.53125" bestFit="1" customWidth="1"/>
    <col min="14" max="14" width="20.3984375" bestFit="1" customWidth="1"/>
    <col min="15" max="15" width="20.73046875" bestFit="1" customWidth="1"/>
    <col min="16" max="16" width="17.796875" bestFit="1" customWidth="1"/>
    <col min="17" max="17" width="22.6640625" bestFit="1" customWidth="1"/>
    <col min="18" max="18" width="14.19921875" bestFit="1" customWidth="1"/>
    <col min="19" max="19" width="15.33203125" bestFit="1" customWidth="1"/>
    <col min="20" max="20" width="17.6640625" bestFit="1" customWidth="1"/>
    <col min="21" max="21" width="16.46484375" bestFit="1" customWidth="1"/>
    <col min="22" max="22" width="28.9296875" bestFit="1" customWidth="1"/>
    <col min="23" max="23" width="14.06640625" customWidth="1"/>
    <col min="24" max="24" width="22.19921875" bestFit="1" customWidth="1"/>
    <col min="25" max="25" width="22.796875" bestFit="1" customWidth="1"/>
    <col min="26" max="26" width="26.265625" bestFit="1" customWidth="1"/>
    <col min="27" max="27" width="35.9296875" bestFit="1" customWidth="1"/>
    <col min="28" max="28" width="19.46484375" bestFit="1" customWidth="1"/>
    <col min="29" max="29" width="87.1328125" bestFit="1" customWidth="1"/>
    <col min="30" max="30" width="64.6640625" style="31" bestFit="1" customWidth="1"/>
    <col min="31" max="31" width="31.9296875" bestFit="1" customWidth="1"/>
  </cols>
  <sheetData>
    <row r="1" spans="1:29" ht="17.649999999999999" x14ac:dyDescent="0.35">
      <c r="AC1" s="63" t="s">
        <v>172</v>
      </c>
    </row>
    <row r="2" spans="1:29" ht="17.649999999999999" x14ac:dyDescent="0.35">
      <c r="A2" s="63" t="s">
        <v>84</v>
      </c>
      <c r="B2" s="4" t="s">
        <v>1</v>
      </c>
      <c r="C2" s="6" t="s">
        <v>3</v>
      </c>
      <c r="D2" s="4" t="s">
        <v>5</v>
      </c>
      <c r="E2" s="8" t="s">
        <v>15</v>
      </c>
      <c r="F2" s="4" t="s">
        <v>21</v>
      </c>
      <c r="G2" s="6" t="s">
        <v>26</v>
      </c>
      <c r="H2" s="4" t="s">
        <v>29</v>
      </c>
      <c r="I2" s="6" t="s">
        <v>43</v>
      </c>
      <c r="J2" s="4" t="s">
        <v>49</v>
      </c>
      <c r="K2" s="10" t="s">
        <v>70</v>
      </c>
      <c r="L2" s="11" t="s">
        <v>66</v>
      </c>
    </row>
    <row r="3" spans="1:29" ht="17.649999999999999" x14ac:dyDescent="0.35">
      <c r="A3" s="63" t="s">
        <v>85</v>
      </c>
      <c r="B3" s="4">
        <v>1</v>
      </c>
      <c r="C3" s="6">
        <v>1</v>
      </c>
      <c r="D3" s="4">
        <v>1</v>
      </c>
      <c r="E3" s="8">
        <v>1</v>
      </c>
      <c r="F3" s="4">
        <v>1</v>
      </c>
      <c r="G3" s="6">
        <v>1</v>
      </c>
      <c r="H3" s="4">
        <v>1</v>
      </c>
      <c r="I3" s="6">
        <v>1</v>
      </c>
      <c r="J3" s="4">
        <v>1</v>
      </c>
      <c r="K3" s="10">
        <v>1</v>
      </c>
    </row>
    <row r="4" spans="1:29" ht="17.649999999999999" x14ac:dyDescent="0.35">
      <c r="A4" s="63" t="s">
        <v>173</v>
      </c>
      <c r="B4" s="4">
        <v>2</v>
      </c>
      <c r="C4" s="6">
        <v>3</v>
      </c>
      <c r="D4" s="4">
        <v>1</v>
      </c>
      <c r="E4" s="8">
        <v>1</v>
      </c>
      <c r="F4" s="4">
        <v>2</v>
      </c>
      <c r="G4" s="6">
        <v>2</v>
      </c>
      <c r="H4" s="4">
        <v>2</v>
      </c>
      <c r="I4" s="6">
        <v>2</v>
      </c>
      <c r="J4" s="4">
        <v>2</v>
      </c>
      <c r="K4" s="10">
        <v>2</v>
      </c>
      <c r="L4" s="12">
        <f t="shared" ref="L4:L12" si="0">AVERAGE(B4:K4)</f>
        <v>1.9</v>
      </c>
    </row>
    <row r="5" spans="1:29" ht="17.649999999999999" x14ac:dyDescent="0.35">
      <c r="A5" s="63" t="s">
        <v>87</v>
      </c>
      <c r="B5" s="4">
        <v>3</v>
      </c>
      <c r="C5" s="6">
        <v>4</v>
      </c>
      <c r="D5" s="4">
        <v>1</v>
      </c>
      <c r="E5" s="8">
        <v>4</v>
      </c>
      <c r="F5" s="4">
        <v>3</v>
      </c>
      <c r="G5" s="6">
        <v>2</v>
      </c>
      <c r="H5" s="4">
        <v>2</v>
      </c>
      <c r="I5" s="6">
        <v>2</v>
      </c>
      <c r="J5" s="4">
        <v>1</v>
      </c>
      <c r="K5" s="10">
        <v>1</v>
      </c>
      <c r="L5" s="12">
        <f t="shared" si="0"/>
        <v>2.2999999999999998</v>
      </c>
    </row>
    <row r="6" spans="1:29" ht="17.649999999999999" x14ac:dyDescent="0.35">
      <c r="A6" s="63" t="s">
        <v>88</v>
      </c>
      <c r="B6" s="4">
        <v>1</v>
      </c>
      <c r="C6" s="6">
        <v>2</v>
      </c>
      <c r="D6" s="4">
        <v>1</v>
      </c>
      <c r="E6" s="8">
        <v>1</v>
      </c>
      <c r="F6" s="4">
        <v>4</v>
      </c>
      <c r="G6" s="6">
        <v>1</v>
      </c>
      <c r="H6" s="4">
        <v>1</v>
      </c>
      <c r="I6" s="6">
        <v>3</v>
      </c>
      <c r="J6" s="4">
        <v>3</v>
      </c>
      <c r="K6" s="10">
        <v>1</v>
      </c>
      <c r="L6" s="12">
        <f t="shared" si="0"/>
        <v>1.8</v>
      </c>
    </row>
    <row r="7" spans="1:29" ht="17.649999999999999" x14ac:dyDescent="0.35">
      <c r="A7" s="63" t="s">
        <v>174</v>
      </c>
      <c r="B7" s="4">
        <v>2</v>
      </c>
      <c r="C7" s="6">
        <v>5</v>
      </c>
      <c r="D7" s="4">
        <v>1</v>
      </c>
      <c r="E7" s="8">
        <v>4</v>
      </c>
      <c r="F7" s="4">
        <v>3</v>
      </c>
      <c r="G7" s="6">
        <v>3</v>
      </c>
      <c r="H7" s="4">
        <v>1</v>
      </c>
      <c r="I7" s="6">
        <v>3</v>
      </c>
      <c r="J7" s="4">
        <v>2</v>
      </c>
      <c r="K7" s="10">
        <v>4</v>
      </c>
      <c r="L7" s="12">
        <f t="shared" si="0"/>
        <v>2.8</v>
      </c>
    </row>
    <row r="8" spans="1:29" ht="17.649999999999999" x14ac:dyDescent="0.35">
      <c r="A8" s="63" t="s">
        <v>90</v>
      </c>
      <c r="B8" s="4">
        <v>2</v>
      </c>
      <c r="C8" s="6">
        <v>1</v>
      </c>
      <c r="D8" s="4">
        <v>1</v>
      </c>
      <c r="E8" s="8">
        <v>2</v>
      </c>
      <c r="F8" s="4">
        <v>2</v>
      </c>
      <c r="G8" s="6">
        <v>1</v>
      </c>
      <c r="H8" s="4">
        <v>1</v>
      </c>
      <c r="I8" s="6">
        <v>2</v>
      </c>
      <c r="J8" s="4">
        <v>1</v>
      </c>
      <c r="K8" s="10">
        <v>1</v>
      </c>
      <c r="L8" s="12">
        <f t="shared" si="0"/>
        <v>1.4</v>
      </c>
    </row>
    <row r="9" spans="1:29" ht="17.649999999999999" x14ac:dyDescent="0.35">
      <c r="A9" s="63" t="s">
        <v>91</v>
      </c>
      <c r="B9" s="4">
        <v>1</v>
      </c>
      <c r="C9" s="6">
        <v>1</v>
      </c>
      <c r="D9" s="4">
        <v>1</v>
      </c>
      <c r="E9" s="8">
        <v>1</v>
      </c>
      <c r="F9" s="4">
        <v>1</v>
      </c>
      <c r="G9" s="6">
        <v>1</v>
      </c>
      <c r="H9" s="4">
        <v>3</v>
      </c>
      <c r="I9" s="6">
        <v>1</v>
      </c>
      <c r="J9" s="4">
        <v>3</v>
      </c>
      <c r="K9" s="10">
        <v>1</v>
      </c>
      <c r="L9" s="12">
        <f t="shared" si="0"/>
        <v>1.4</v>
      </c>
    </row>
    <row r="10" spans="1:29" ht="17.649999999999999" x14ac:dyDescent="0.35">
      <c r="A10" s="63" t="s">
        <v>92</v>
      </c>
      <c r="B10" s="4">
        <v>3</v>
      </c>
      <c r="C10" s="6">
        <v>1</v>
      </c>
      <c r="D10" s="4">
        <v>3</v>
      </c>
      <c r="E10" s="8">
        <v>2</v>
      </c>
      <c r="F10" s="4">
        <v>2</v>
      </c>
      <c r="G10" s="6">
        <v>2</v>
      </c>
      <c r="H10" s="4">
        <v>3</v>
      </c>
      <c r="I10" s="6">
        <v>3</v>
      </c>
      <c r="J10" s="4">
        <v>2</v>
      </c>
      <c r="K10" s="10">
        <v>3</v>
      </c>
      <c r="L10" s="12">
        <f t="shared" si="0"/>
        <v>2.4</v>
      </c>
    </row>
    <row r="11" spans="1:29" ht="17.649999999999999" x14ac:dyDescent="0.35">
      <c r="A11" s="63" t="s">
        <v>93</v>
      </c>
      <c r="B11" s="4">
        <v>4</v>
      </c>
      <c r="C11" s="6">
        <v>1</v>
      </c>
      <c r="D11" s="4">
        <v>2</v>
      </c>
      <c r="E11" s="8">
        <v>4</v>
      </c>
      <c r="F11" s="4">
        <v>4</v>
      </c>
      <c r="G11" s="6">
        <v>4</v>
      </c>
      <c r="H11" s="4">
        <v>1</v>
      </c>
      <c r="I11" s="6">
        <v>3</v>
      </c>
      <c r="J11" s="4">
        <v>1</v>
      </c>
      <c r="K11" s="10">
        <v>2</v>
      </c>
      <c r="L11" s="12">
        <f t="shared" si="0"/>
        <v>2.6</v>
      </c>
    </row>
    <row r="12" spans="1:29" ht="17.649999999999999" x14ac:dyDescent="0.35">
      <c r="A12" s="63" t="s">
        <v>94</v>
      </c>
      <c r="B12" s="4">
        <v>3</v>
      </c>
      <c r="C12" s="6">
        <v>1</v>
      </c>
      <c r="D12" s="4">
        <v>3</v>
      </c>
      <c r="E12" s="8">
        <v>3</v>
      </c>
      <c r="F12" s="4">
        <v>3</v>
      </c>
      <c r="G12" s="6">
        <v>2</v>
      </c>
      <c r="H12" s="4">
        <v>3</v>
      </c>
      <c r="I12" s="6">
        <v>2</v>
      </c>
      <c r="J12" s="4">
        <v>1</v>
      </c>
      <c r="K12" s="10">
        <v>1</v>
      </c>
      <c r="L12" s="12">
        <f t="shared" si="0"/>
        <v>2.2000000000000002</v>
      </c>
    </row>
    <row r="13" spans="1:29" ht="17.649999999999999" x14ac:dyDescent="0.35">
      <c r="A13" s="63" t="s">
        <v>175</v>
      </c>
      <c r="B13" s="4"/>
      <c r="C13" s="6"/>
      <c r="D13" s="4"/>
      <c r="E13" s="8"/>
      <c r="F13" s="4" t="s">
        <v>22</v>
      </c>
      <c r="G13" s="6"/>
      <c r="H13" s="4" t="s">
        <v>30</v>
      </c>
      <c r="I13" s="6" t="s">
        <v>44</v>
      </c>
      <c r="J13" s="4" t="s">
        <v>50</v>
      </c>
      <c r="L13" s="12"/>
    </row>
    <row r="14" spans="1:29" ht="17.649999999999999" x14ac:dyDescent="0.35">
      <c r="A14" s="63" t="s">
        <v>95</v>
      </c>
      <c r="B14" s="4"/>
      <c r="C14" s="6"/>
      <c r="D14" s="4"/>
      <c r="E14" s="8"/>
      <c r="F14" s="4"/>
      <c r="G14" s="6"/>
      <c r="H14" s="4"/>
      <c r="I14" s="6"/>
      <c r="J14" s="4" t="s">
        <v>51</v>
      </c>
      <c r="L14" s="12"/>
    </row>
    <row r="15" spans="1:29" ht="17.649999999999999" x14ac:dyDescent="0.35">
      <c r="A15" s="76" t="s">
        <v>97</v>
      </c>
      <c r="B15" s="4">
        <v>2</v>
      </c>
      <c r="C15" s="6">
        <v>3</v>
      </c>
      <c r="D15" s="4">
        <v>1</v>
      </c>
      <c r="E15" s="8">
        <v>2</v>
      </c>
      <c r="F15" s="4">
        <v>2</v>
      </c>
      <c r="G15" s="6">
        <v>1</v>
      </c>
      <c r="H15" s="4">
        <v>3</v>
      </c>
      <c r="I15" s="6">
        <v>2</v>
      </c>
      <c r="J15" s="4">
        <v>2</v>
      </c>
      <c r="K15" s="10">
        <v>3</v>
      </c>
      <c r="L15" s="12">
        <f t="shared" ref="L15:L29" si="1">AVERAGE(B15:K15)</f>
        <v>2.1</v>
      </c>
    </row>
    <row r="16" spans="1:29" ht="17.649999999999999" x14ac:dyDescent="0.35">
      <c r="A16" s="76" t="s">
        <v>98</v>
      </c>
      <c r="B16" s="4">
        <v>3</v>
      </c>
      <c r="C16" s="6">
        <v>3</v>
      </c>
      <c r="D16" s="4">
        <v>1</v>
      </c>
      <c r="E16" s="8">
        <v>3</v>
      </c>
      <c r="F16" s="4">
        <v>3</v>
      </c>
      <c r="G16" s="6">
        <v>2</v>
      </c>
      <c r="H16" s="4">
        <v>1</v>
      </c>
      <c r="I16" s="6">
        <v>1</v>
      </c>
      <c r="J16" s="4">
        <v>1</v>
      </c>
      <c r="K16" s="10">
        <v>1</v>
      </c>
      <c r="L16" s="12">
        <f t="shared" si="1"/>
        <v>1.9</v>
      </c>
    </row>
    <row r="17" spans="1:12" ht="17.649999999999999" x14ac:dyDescent="0.35">
      <c r="A17" s="76" t="s">
        <v>99</v>
      </c>
      <c r="B17" s="4">
        <v>2</v>
      </c>
      <c r="C17" s="6">
        <v>2</v>
      </c>
      <c r="D17" s="4">
        <v>1</v>
      </c>
      <c r="E17" s="8">
        <v>1</v>
      </c>
      <c r="F17" s="4">
        <v>2</v>
      </c>
      <c r="G17" s="6">
        <v>1</v>
      </c>
      <c r="H17" s="4">
        <v>1</v>
      </c>
      <c r="I17" s="6">
        <v>3</v>
      </c>
      <c r="J17" s="4">
        <v>2</v>
      </c>
      <c r="K17" s="10">
        <v>1</v>
      </c>
      <c r="L17" s="12">
        <f t="shared" si="1"/>
        <v>1.6</v>
      </c>
    </row>
    <row r="18" spans="1:12" ht="17.649999999999999" x14ac:dyDescent="0.35">
      <c r="A18" s="76" t="s">
        <v>100</v>
      </c>
      <c r="B18" s="4">
        <v>2</v>
      </c>
      <c r="C18" s="6">
        <v>3</v>
      </c>
      <c r="D18" s="4">
        <v>1</v>
      </c>
      <c r="E18" s="8">
        <v>3</v>
      </c>
      <c r="F18" s="4">
        <v>3</v>
      </c>
      <c r="G18" s="6">
        <v>3</v>
      </c>
      <c r="H18" s="4">
        <v>1</v>
      </c>
      <c r="I18" s="6">
        <v>3</v>
      </c>
      <c r="J18" s="4">
        <v>2</v>
      </c>
      <c r="K18" s="10">
        <v>3</v>
      </c>
      <c r="L18" s="12">
        <f t="shared" si="1"/>
        <v>2.4</v>
      </c>
    </row>
    <row r="19" spans="1:12" ht="17.649999999999999" x14ac:dyDescent="0.35">
      <c r="A19" s="76" t="s">
        <v>101</v>
      </c>
      <c r="B19" s="4">
        <v>2</v>
      </c>
      <c r="C19" s="6">
        <v>1</v>
      </c>
      <c r="D19" s="4">
        <v>1</v>
      </c>
      <c r="E19" s="8">
        <v>1</v>
      </c>
      <c r="F19" s="4">
        <v>4</v>
      </c>
      <c r="G19" s="6">
        <v>1</v>
      </c>
      <c r="H19" s="4">
        <v>1</v>
      </c>
      <c r="I19" s="6">
        <v>2</v>
      </c>
      <c r="J19" s="4">
        <v>1</v>
      </c>
      <c r="K19" s="10">
        <v>2</v>
      </c>
      <c r="L19" s="12">
        <f t="shared" si="1"/>
        <v>1.6</v>
      </c>
    </row>
    <row r="20" spans="1:12" ht="17.649999999999999" x14ac:dyDescent="0.35">
      <c r="A20" s="76" t="s">
        <v>102</v>
      </c>
      <c r="B20" s="4">
        <v>3</v>
      </c>
      <c r="C20" s="6">
        <v>1</v>
      </c>
      <c r="D20" s="4">
        <v>3</v>
      </c>
      <c r="E20" s="8">
        <v>3</v>
      </c>
      <c r="F20" s="4">
        <v>2</v>
      </c>
      <c r="G20" s="6">
        <v>3</v>
      </c>
      <c r="H20" s="4">
        <v>2</v>
      </c>
      <c r="I20" s="6">
        <v>2</v>
      </c>
      <c r="J20" s="4">
        <v>3</v>
      </c>
      <c r="K20" s="10">
        <v>3</v>
      </c>
      <c r="L20" s="12">
        <f t="shared" si="1"/>
        <v>2.5</v>
      </c>
    </row>
    <row r="21" spans="1:12" ht="17.649999999999999" x14ac:dyDescent="0.35">
      <c r="A21" s="76" t="s">
        <v>103</v>
      </c>
      <c r="B21" s="4">
        <v>2</v>
      </c>
      <c r="C21" s="6">
        <v>2</v>
      </c>
      <c r="D21" s="4">
        <v>2</v>
      </c>
      <c r="E21" s="8">
        <v>3</v>
      </c>
      <c r="F21" s="4">
        <v>3</v>
      </c>
      <c r="G21" s="6">
        <v>4</v>
      </c>
      <c r="H21" s="4">
        <v>1</v>
      </c>
      <c r="I21" s="6">
        <v>1</v>
      </c>
      <c r="J21" s="4">
        <v>2</v>
      </c>
      <c r="K21" s="10">
        <v>2</v>
      </c>
      <c r="L21" s="12">
        <f t="shared" si="1"/>
        <v>2.2000000000000002</v>
      </c>
    </row>
    <row r="22" spans="1:12" ht="17.649999999999999" x14ac:dyDescent="0.35">
      <c r="A22" s="76" t="s">
        <v>104</v>
      </c>
      <c r="B22" s="4">
        <v>2</v>
      </c>
      <c r="C22" s="6">
        <v>1</v>
      </c>
      <c r="D22" s="4">
        <v>2</v>
      </c>
      <c r="E22" s="8">
        <v>3</v>
      </c>
      <c r="F22" s="4">
        <v>3</v>
      </c>
      <c r="G22" s="6">
        <v>3</v>
      </c>
      <c r="H22" s="4">
        <v>2</v>
      </c>
      <c r="I22" s="6">
        <v>3</v>
      </c>
      <c r="J22" s="4">
        <v>1</v>
      </c>
      <c r="K22" s="10">
        <v>1</v>
      </c>
      <c r="L22" s="12">
        <f t="shared" si="1"/>
        <v>2.1</v>
      </c>
    </row>
    <row r="23" spans="1:12" ht="17.649999999999999" x14ac:dyDescent="0.35">
      <c r="A23" s="76" t="s">
        <v>106</v>
      </c>
      <c r="B23" s="4">
        <v>2</v>
      </c>
      <c r="C23" s="6">
        <v>3</v>
      </c>
      <c r="D23" s="4">
        <v>4</v>
      </c>
      <c r="E23" s="8">
        <v>1</v>
      </c>
      <c r="F23" s="4">
        <v>3</v>
      </c>
      <c r="G23" s="6">
        <v>3</v>
      </c>
      <c r="H23" s="4">
        <v>3</v>
      </c>
      <c r="I23" s="6">
        <v>1</v>
      </c>
      <c r="J23" s="4">
        <v>2</v>
      </c>
      <c r="K23" s="10">
        <v>4</v>
      </c>
      <c r="L23" s="12">
        <f t="shared" si="1"/>
        <v>2.6</v>
      </c>
    </row>
    <row r="24" spans="1:12" ht="17.649999999999999" x14ac:dyDescent="0.35">
      <c r="A24" s="72" t="s">
        <v>107</v>
      </c>
      <c r="B24" s="4">
        <v>2</v>
      </c>
      <c r="C24" s="6">
        <v>3</v>
      </c>
      <c r="D24" s="4">
        <v>3</v>
      </c>
      <c r="E24" s="8">
        <v>4</v>
      </c>
      <c r="F24" s="4">
        <v>3</v>
      </c>
      <c r="G24" s="6">
        <v>2</v>
      </c>
      <c r="H24" s="4">
        <v>2</v>
      </c>
      <c r="I24" s="6">
        <v>5</v>
      </c>
      <c r="J24" s="4">
        <v>3</v>
      </c>
      <c r="K24" s="10">
        <v>4</v>
      </c>
      <c r="L24" s="12">
        <f t="shared" si="1"/>
        <v>3.1</v>
      </c>
    </row>
    <row r="25" spans="1:12" ht="17.649999999999999" x14ac:dyDescent="0.35">
      <c r="A25" s="72" t="s">
        <v>108</v>
      </c>
      <c r="B25" s="4">
        <v>2</v>
      </c>
      <c r="C25" s="6">
        <v>1</v>
      </c>
      <c r="D25" s="4">
        <v>1</v>
      </c>
      <c r="E25" s="8">
        <v>2</v>
      </c>
      <c r="F25" s="4">
        <v>3</v>
      </c>
      <c r="G25" s="6">
        <v>2</v>
      </c>
      <c r="H25" s="4">
        <v>2</v>
      </c>
      <c r="I25" s="6">
        <v>3</v>
      </c>
      <c r="J25" s="4">
        <v>1</v>
      </c>
      <c r="K25" s="10">
        <v>4</v>
      </c>
      <c r="L25" s="12">
        <f t="shared" si="1"/>
        <v>2.1</v>
      </c>
    </row>
    <row r="26" spans="1:12" ht="17.649999999999999" x14ac:dyDescent="0.35">
      <c r="A26" s="72" t="s">
        <v>109</v>
      </c>
      <c r="B26" s="4">
        <v>2</v>
      </c>
      <c r="C26" s="6">
        <v>2</v>
      </c>
      <c r="D26" s="4">
        <v>3</v>
      </c>
      <c r="E26" s="8">
        <v>3</v>
      </c>
      <c r="F26" s="4">
        <v>3</v>
      </c>
      <c r="G26" s="6">
        <v>2</v>
      </c>
      <c r="H26" s="4">
        <v>2</v>
      </c>
      <c r="I26" s="6">
        <v>3</v>
      </c>
      <c r="J26" s="4">
        <v>2</v>
      </c>
      <c r="K26" s="10">
        <v>2</v>
      </c>
      <c r="L26" s="12">
        <f t="shared" si="1"/>
        <v>2.4</v>
      </c>
    </row>
    <row r="27" spans="1:12" ht="17.649999999999999" x14ac:dyDescent="0.35">
      <c r="A27" s="72" t="s">
        <v>110</v>
      </c>
      <c r="B27" s="4">
        <v>2</v>
      </c>
      <c r="C27" s="6">
        <v>3</v>
      </c>
      <c r="D27" s="4">
        <v>1</v>
      </c>
      <c r="E27" s="8">
        <v>3</v>
      </c>
      <c r="F27" s="4">
        <v>2</v>
      </c>
      <c r="G27" s="6">
        <v>2</v>
      </c>
      <c r="H27" s="4">
        <v>3</v>
      </c>
      <c r="I27" s="6">
        <v>4</v>
      </c>
      <c r="J27" s="4">
        <v>2</v>
      </c>
      <c r="K27" s="10">
        <v>4</v>
      </c>
      <c r="L27" s="12">
        <f t="shared" si="1"/>
        <v>2.6</v>
      </c>
    </row>
    <row r="28" spans="1:12" ht="17.649999999999999" x14ac:dyDescent="0.35">
      <c r="A28" s="72" t="s">
        <v>111</v>
      </c>
      <c r="B28" s="4">
        <v>2</v>
      </c>
      <c r="C28" s="6">
        <v>4</v>
      </c>
      <c r="D28" s="4">
        <v>3</v>
      </c>
      <c r="E28" s="8">
        <v>3</v>
      </c>
      <c r="F28" s="4">
        <v>2</v>
      </c>
      <c r="G28" s="6">
        <v>3</v>
      </c>
      <c r="H28" s="4">
        <v>3</v>
      </c>
      <c r="I28" s="6">
        <v>3</v>
      </c>
      <c r="J28" s="4">
        <v>3</v>
      </c>
      <c r="K28" s="10">
        <v>3</v>
      </c>
      <c r="L28" s="12">
        <f t="shared" si="1"/>
        <v>2.9</v>
      </c>
    </row>
    <row r="29" spans="1:12" ht="17.649999999999999" x14ac:dyDescent="0.35">
      <c r="A29" s="72" t="s">
        <v>112</v>
      </c>
      <c r="B29" s="4">
        <v>2</v>
      </c>
      <c r="C29" s="6">
        <v>4</v>
      </c>
      <c r="D29" s="4">
        <v>5</v>
      </c>
      <c r="E29" s="8">
        <v>4</v>
      </c>
      <c r="F29" s="4">
        <v>4</v>
      </c>
      <c r="G29" s="6">
        <v>3</v>
      </c>
      <c r="H29" s="4">
        <v>4</v>
      </c>
      <c r="I29" s="6">
        <v>4</v>
      </c>
      <c r="J29" s="4">
        <v>4</v>
      </c>
      <c r="K29" s="10">
        <v>4</v>
      </c>
      <c r="L29" s="12">
        <f t="shared" si="1"/>
        <v>3.8</v>
      </c>
    </row>
    <row r="30" spans="1:12" ht="102" x14ac:dyDescent="0.35">
      <c r="A30" s="77" t="s">
        <v>113</v>
      </c>
      <c r="B30" s="64"/>
      <c r="C30" s="25"/>
      <c r="D30" s="64" t="s">
        <v>8</v>
      </c>
      <c r="E30" s="65" t="s">
        <v>16</v>
      </c>
      <c r="F30" s="64" t="s">
        <v>23</v>
      </c>
      <c r="G30" s="25" t="s">
        <v>27</v>
      </c>
      <c r="H30" s="64"/>
      <c r="I30" s="25"/>
      <c r="J30" s="64" t="s">
        <v>53</v>
      </c>
      <c r="K30" s="31"/>
      <c r="L30" s="31"/>
    </row>
    <row r="31" spans="1:12" ht="17.649999999999999" x14ac:dyDescent="0.35">
      <c r="A31" s="78" t="s">
        <v>114</v>
      </c>
      <c r="B31" s="5"/>
      <c r="C31" s="7"/>
      <c r="D31" s="5" t="s">
        <v>9</v>
      </c>
      <c r="E31" s="9"/>
      <c r="F31" s="5" t="s">
        <v>24</v>
      </c>
      <c r="G31" s="7"/>
      <c r="H31" s="5"/>
      <c r="I31" s="7"/>
      <c r="J31" s="5" t="s">
        <v>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0AAB-E936-EE4E-B5D5-2A850B8160B0}">
  <dimension ref="A2:V31"/>
  <sheetViews>
    <sheetView topLeftCell="D14" zoomScale="55" zoomScaleNormal="55" workbookViewId="0">
      <selection activeCell="O45" sqref="O45"/>
    </sheetView>
  </sheetViews>
  <sheetFormatPr baseColWidth="10" defaultRowHeight="12.75" x14ac:dyDescent="0.35"/>
  <cols>
    <col min="1" max="1" width="20.796875" customWidth="1"/>
    <col min="2" max="2" width="8.796875" customWidth="1"/>
    <col min="3" max="3" width="28.1328125" customWidth="1"/>
    <col min="4" max="4" width="16.796875" bestFit="1" customWidth="1"/>
    <col min="5" max="5" width="13.46484375" bestFit="1" customWidth="1"/>
    <col min="6" max="6" width="19.6640625" bestFit="1" customWidth="1"/>
    <col min="7" max="7" width="10.33203125" bestFit="1" customWidth="1"/>
    <col min="8" max="8" width="9.796875" bestFit="1" customWidth="1"/>
    <col min="9" max="9" width="10.796875" bestFit="1" customWidth="1"/>
    <col min="10" max="10" width="14.46484375" bestFit="1" customWidth="1"/>
    <col min="11" max="11" width="13.6640625" bestFit="1" customWidth="1"/>
    <col min="12" max="12" width="37.6640625" customWidth="1"/>
    <col min="13" max="13" width="38.1328125" bestFit="1" customWidth="1"/>
    <col min="14" max="14" width="28.33203125" customWidth="1"/>
    <col min="15" max="15" width="16.796875" bestFit="1" customWidth="1"/>
    <col min="16" max="16" width="14.33203125" bestFit="1" customWidth="1"/>
    <col min="17" max="17" width="18.796875" bestFit="1" customWidth="1"/>
    <col min="18" max="18" width="10.33203125" bestFit="1" customWidth="1"/>
    <col min="19" max="19" width="12.46484375" bestFit="1" customWidth="1"/>
    <col min="20" max="20" width="12.796875" bestFit="1" customWidth="1"/>
    <col min="21" max="21" width="13.6640625" bestFit="1" customWidth="1"/>
    <col min="22" max="22" width="25" style="15" customWidth="1"/>
    <col min="24" max="24" width="33.33203125" customWidth="1"/>
    <col min="25" max="25" width="13.1328125" customWidth="1"/>
    <col min="26" max="26" width="11.796875" customWidth="1"/>
    <col min="27" max="27" width="12.46484375" customWidth="1"/>
    <col min="28" max="28" width="13.33203125" customWidth="1"/>
    <col min="29" max="29" width="17.1328125" customWidth="1"/>
    <col min="30" max="30" width="116.46484375" bestFit="1" customWidth="1"/>
    <col min="31" max="31" width="31.796875" bestFit="1" customWidth="1"/>
  </cols>
  <sheetData>
    <row r="2" spans="1:12" ht="17.649999999999999" x14ac:dyDescent="0.35">
      <c r="A2" s="63" t="s">
        <v>84</v>
      </c>
      <c r="B2" s="4" t="s">
        <v>1</v>
      </c>
      <c r="C2" s="6" t="s">
        <v>3</v>
      </c>
      <c r="D2" s="4" t="s">
        <v>5</v>
      </c>
      <c r="E2" s="8" t="s">
        <v>15</v>
      </c>
      <c r="F2" s="4" t="s">
        <v>21</v>
      </c>
      <c r="G2" s="6" t="s">
        <v>26</v>
      </c>
      <c r="H2" s="4" t="s">
        <v>29</v>
      </c>
      <c r="I2" s="6" t="s">
        <v>11</v>
      </c>
      <c r="J2" s="4" t="s">
        <v>49</v>
      </c>
      <c r="K2" s="10" t="s">
        <v>70</v>
      </c>
      <c r="L2" s="11" t="s">
        <v>66</v>
      </c>
    </row>
    <row r="3" spans="1:12" ht="17.649999999999999" x14ac:dyDescent="0.35">
      <c r="A3" s="63" t="s">
        <v>85</v>
      </c>
      <c r="B3" s="4">
        <v>2</v>
      </c>
      <c r="C3" s="6">
        <v>2</v>
      </c>
      <c r="D3" s="4">
        <v>2</v>
      </c>
      <c r="E3" s="8">
        <v>2</v>
      </c>
      <c r="F3" s="4">
        <v>2</v>
      </c>
      <c r="G3" s="6">
        <v>2</v>
      </c>
      <c r="H3" s="4">
        <v>2</v>
      </c>
      <c r="I3" s="6">
        <v>2</v>
      </c>
      <c r="J3" s="4">
        <v>2</v>
      </c>
      <c r="K3" s="10">
        <v>2</v>
      </c>
    </row>
    <row r="4" spans="1:12" ht="17.649999999999999" x14ac:dyDescent="0.35">
      <c r="A4" s="63" t="s">
        <v>173</v>
      </c>
      <c r="B4" s="6">
        <v>3</v>
      </c>
      <c r="C4" s="4">
        <v>2</v>
      </c>
      <c r="D4" s="6">
        <v>2</v>
      </c>
      <c r="E4" s="8">
        <v>1</v>
      </c>
      <c r="F4" s="20">
        <v>5</v>
      </c>
      <c r="G4" s="8">
        <v>2</v>
      </c>
      <c r="H4" s="4">
        <v>3</v>
      </c>
      <c r="I4" s="6">
        <v>3</v>
      </c>
      <c r="J4" s="4">
        <v>2</v>
      </c>
      <c r="K4" s="10">
        <v>2</v>
      </c>
      <c r="L4" s="12">
        <f t="shared" ref="L4:L12" si="0">AVERAGE(B4:K4)</f>
        <v>2.5</v>
      </c>
    </row>
    <row r="5" spans="1:12" ht="17.649999999999999" x14ac:dyDescent="0.35">
      <c r="A5" s="63" t="s">
        <v>87</v>
      </c>
      <c r="B5" s="6">
        <v>3</v>
      </c>
      <c r="C5" s="4">
        <v>2</v>
      </c>
      <c r="D5" s="6">
        <v>1</v>
      </c>
      <c r="E5" s="8">
        <v>3</v>
      </c>
      <c r="F5" s="20">
        <v>3</v>
      </c>
      <c r="G5" s="8">
        <v>1</v>
      </c>
      <c r="H5" s="4">
        <v>1</v>
      </c>
      <c r="I5" s="6">
        <v>3</v>
      </c>
      <c r="J5" s="4">
        <v>1</v>
      </c>
      <c r="K5" s="10">
        <v>1</v>
      </c>
      <c r="L5" s="12">
        <f t="shared" si="0"/>
        <v>1.9</v>
      </c>
    </row>
    <row r="6" spans="1:12" ht="17.649999999999999" x14ac:dyDescent="0.35">
      <c r="A6" s="63" t="s">
        <v>88</v>
      </c>
      <c r="B6" s="6">
        <v>2</v>
      </c>
      <c r="C6" s="4">
        <v>1</v>
      </c>
      <c r="D6" s="6">
        <v>1</v>
      </c>
      <c r="E6" s="8">
        <v>1</v>
      </c>
      <c r="F6" s="20">
        <v>2</v>
      </c>
      <c r="G6" s="8">
        <v>2</v>
      </c>
      <c r="H6" s="4">
        <v>2</v>
      </c>
      <c r="I6" s="6">
        <v>2</v>
      </c>
      <c r="J6" s="4">
        <v>1</v>
      </c>
      <c r="K6" s="10">
        <v>1</v>
      </c>
      <c r="L6" s="12">
        <f t="shared" si="0"/>
        <v>1.5</v>
      </c>
    </row>
    <row r="7" spans="1:12" ht="17.649999999999999" x14ac:dyDescent="0.35">
      <c r="A7" s="63" t="s">
        <v>174</v>
      </c>
      <c r="B7" s="6">
        <v>2</v>
      </c>
      <c r="C7" s="4">
        <v>1</v>
      </c>
      <c r="D7" s="6">
        <v>1</v>
      </c>
      <c r="E7" s="8">
        <v>3</v>
      </c>
      <c r="F7" s="20">
        <v>5</v>
      </c>
      <c r="G7" s="8">
        <v>3</v>
      </c>
      <c r="H7" s="4">
        <v>2</v>
      </c>
      <c r="I7" s="6">
        <v>2</v>
      </c>
      <c r="J7" s="4">
        <v>2</v>
      </c>
      <c r="K7" s="10">
        <v>3</v>
      </c>
      <c r="L7" s="12">
        <f t="shared" si="0"/>
        <v>2.4</v>
      </c>
    </row>
    <row r="8" spans="1:12" ht="17.649999999999999" x14ac:dyDescent="0.35">
      <c r="A8" s="63" t="s">
        <v>90</v>
      </c>
      <c r="B8" s="6">
        <v>2</v>
      </c>
      <c r="C8" s="4">
        <v>1</v>
      </c>
      <c r="D8" s="6">
        <v>1</v>
      </c>
      <c r="E8" s="8">
        <v>2</v>
      </c>
      <c r="F8" s="20">
        <v>2</v>
      </c>
      <c r="G8" s="8">
        <v>1</v>
      </c>
      <c r="H8" s="4">
        <v>2</v>
      </c>
      <c r="I8" s="6">
        <v>2</v>
      </c>
      <c r="J8" s="4">
        <v>1</v>
      </c>
      <c r="K8" s="10">
        <v>2</v>
      </c>
      <c r="L8" s="12">
        <f t="shared" si="0"/>
        <v>1.6</v>
      </c>
    </row>
    <row r="9" spans="1:12" ht="17.649999999999999" x14ac:dyDescent="0.35">
      <c r="A9" s="63" t="s">
        <v>91</v>
      </c>
      <c r="B9" s="6">
        <v>1</v>
      </c>
      <c r="C9" s="4">
        <v>1</v>
      </c>
      <c r="D9" s="6">
        <v>1</v>
      </c>
      <c r="E9" s="8">
        <v>1</v>
      </c>
      <c r="F9" s="20">
        <v>1</v>
      </c>
      <c r="G9" s="8">
        <v>1</v>
      </c>
      <c r="H9" s="4">
        <v>2</v>
      </c>
      <c r="I9" s="6">
        <v>1</v>
      </c>
      <c r="J9" s="4">
        <v>3</v>
      </c>
      <c r="K9" s="10">
        <v>3</v>
      </c>
      <c r="L9" s="12">
        <f t="shared" si="0"/>
        <v>1.5</v>
      </c>
    </row>
    <row r="10" spans="1:12" ht="17.649999999999999" x14ac:dyDescent="0.35">
      <c r="A10" s="63" t="s">
        <v>92</v>
      </c>
      <c r="B10" s="6">
        <v>3</v>
      </c>
      <c r="C10" s="4">
        <v>3</v>
      </c>
      <c r="D10" s="6">
        <v>2</v>
      </c>
      <c r="E10" s="8">
        <v>3</v>
      </c>
      <c r="F10" s="20">
        <v>2</v>
      </c>
      <c r="G10" s="8">
        <v>3</v>
      </c>
      <c r="H10" s="4">
        <v>3</v>
      </c>
      <c r="I10" s="6">
        <v>3</v>
      </c>
      <c r="J10" s="4">
        <v>4</v>
      </c>
      <c r="K10" s="10">
        <v>4</v>
      </c>
      <c r="L10" s="12">
        <f t="shared" si="0"/>
        <v>3</v>
      </c>
    </row>
    <row r="11" spans="1:12" ht="17.649999999999999" x14ac:dyDescent="0.35">
      <c r="A11" s="63" t="s">
        <v>93</v>
      </c>
      <c r="B11" s="6">
        <v>2</v>
      </c>
      <c r="C11" s="4">
        <v>1</v>
      </c>
      <c r="D11" s="6">
        <v>1</v>
      </c>
      <c r="E11" s="8">
        <v>3</v>
      </c>
      <c r="F11" s="20">
        <v>5</v>
      </c>
      <c r="G11" s="8">
        <v>4</v>
      </c>
      <c r="H11" s="4">
        <v>2</v>
      </c>
      <c r="I11" s="6">
        <v>2</v>
      </c>
      <c r="J11" s="4">
        <v>2</v>
      </c>
      <c r="K11" s="10">
        <v>3</v>
      </c>
      <c r="L11" s="12">
        <f t="shared" si="0"/>
        <v>2.5</v>
      </c>
    </row>
    <row r="12" spans="1:12" ht="17.649999999999999" x14ac:dyDescent="0.35">
      <c r="A12" s="63" t="s">
        <v>94</v>
      </c>
      <c r="B12" s="6">
        <v>2</v>
      </c>
      <c r="C12" s="4">
        <v>1</v>
      </c>
      <c r="D12" s="6">
        <v>2.5</v>
      </c>
      <c r="E12" s="8">
        <v>3</v>
      </c>
      <c r="F12" s="20">
        <v>3</v>
      </c>
      <c r="G12" s="8">
        <v>2</v>
      </c>
      <c r="H12" s="4">
        <v>1</v>
      </c>
      <c r="I12" s="6">
        <v>2</v>
      </c>
      <c r="J12" s="4">
        <v>1</v>
      </c>
      <c r="K12" s="10">
        <v>1</v>
      </c>
      <c r="L12" s="12">
        <f t="shared" si="0"/>
        <v>1.85</v>
      </c>
    </row>
    <row r="13" spans="1:12" ht="17.649999999999999" x14ac:dyDescent="0.35">
      <c r="A13" s="63" t="s">
        <v>175</v>
      </c>
      <c r="B13" s="4"/>
      <c r="C13" s="6"/>
      <c r="D13" s="4"/>
      <c r="E13" s="8"/>
      <c r="F13" s="4"/>
      <c r="G13" s="6"/>
      <c r="H13" s="4" t="s">
        <v>67</v>
      </c>
      <c r="I13" s="6"/>
      <c r="J13" s="4" t="s">
        <v>56</v>
      </c>
      <c r="K13" s="3" t="s">
        <v>68</v>
      </c>
      <c r="L13" s="12"/>
    </row>
    <row r="14" spans="1:12" ht="17.649999999999999" x14ac:dyDescent="0.35">
      <c r="A14" s="63" t="s">
        <v>95</v>
      </c>
      <c r="B14" s="4"/>
      <c r="C14" s="6"/>
      <c r="D14" s="6" t="s">
        <v>17</v>
      </c>
      <c r="E14" s="8"/>
      <c r="F14" s="4"/>
      <c r="G14" s="6"/>
      <c r="H14" s="4" t="s">
        <v>42</v>
      </c>
      <c r="I14" s="6"/>
      <c r="J14" s="4" t="s">
        <v>57</v>
      </c>
      <c r="L14" s="12"/>
    </row>
    <row r="15" spans="1:12" ht="17.649999999999999" x14ac:dyDescent="0.35">
      <c r="A15" s="70" t="s">
        <v>97</v>
      </c>
      <c r="B15" s="6">
        <v>2</v>
      </c>
      <c r="C15" s="4">
        <v>4</v>
      </c>
      <c r="D15" s="6">
        <v>1</v>
      </c>
      <c r="E15" s="8">
        <v>2</v>
      </c>
      <c r="F15" s="20">
        <v>3</v>
      </c>
      <c r="G15" s="8">
        <v>3</v>
      </c>
      <c r="H15" s="4">
        <v>3</v>
      </c>
      <c r="I15" s="6">
        <v>2</v>
      </c>
      <c r="J15" s="4">
        <v>3</v>
      </c>
      <c r="K15" s="10">
        <v>3</v>
      </c>
      <c r="L15" s="12">
        <f t="shared" ref="L15:L29" si="1">AVERAGE(B15:K15)</f>
        <v>2.6</v>
      </c>
    </row>
    <row r="16" spans="1:12" ht="17.649999999999999" x14ac:dyDescent="0.35">
      <c r="A16" s="70" t="s">
        <v>98</v>
      </c>
      <c r="B16" s="6">
        <v>2</v>
      </c>
      <c r="C16" s="4">
        <v>3</v>
      </c>
      <c r="D16" s="6">
        <v>1</v>
      </c>
      <c r="E16" s="8">
        <v>3</v>
      </c>
      <c r="F16" s="20">
        <v>3</v>
      </c>
      <c r="G16" s="8">
        <v>1</v>
      </c>
      <c r="H16" s="4">
        <v>1</v>
      </c>
      <c r="I16" s="6">
        <v>2</v>
      </c>
      <c r="J16" s="4">
        <v>1</v>
      </c>
      <c r="K16" s="10">
        <v>1</v>
      </c>
      <c r="L16" s="12">
        <f t="shared" si="1"/>
        <v>1.8</v>
      </c>
    </row>
    <row r="17" spans="1:12" ht="17.649999999999999" x14ac:dyDescent="0.35">
      <c r="A17" s="70" t="s">
        <v>99</v>
      </c>
      <c r="B17" s="6">
        <v>2</v>
      </c>
      <c r="C17" s="4">
        <v>4</v>
      </c>
      <c r="D17" s="6">
        <v>1</v>
      </c>
      <c r="E17" s="8">
        <v>1</v>
      </c>
      <c r="F17" s="20">
        <v>2</v>
      </c>
      <c r="G17" s="8">
        <v>2</v>
      </c>
      <c r="H17" s="4">
        <v>2</v>
      </c>
      <c r="I17" s="6">
        <v>2</v>
      </c>
      <c r="J17" s="4">
        <v>2</v>
      </c>
      <c r="K17" s="10">
        <v>1</v>
      </c>
      <c r="L17" s="12">
        <f t="shared" si="1"/>
        <v>1.9</v>
      </c>
    </row>
    <row r="18" spans="1:12" ht="17.649999999999999" x14ac:dyDescent="0.35">
      <c r="A18" s="70" t="s">
        <v>100</v>
      </c>
      <c r="B18" s="6">
        <v>2</v>
      </c>
      <c r="C18" s="4">
        <v>4</v>
      </c>
      <c r="D18" s="6">
        <v>1</v>
      </c>
      <c r="E18" s="8">
        <v>3</v>
      </c>
      <c r="F18" s="20">
        <v>5</v>
      </c>
      <c r="G18" s="8">
        <v>2</v>
      </c>
      <c r="H18" s="4">
        <v>2</v>
      </c>
      <c r="I18" s="6">
        <v>2</v>
      </c>
      <c r="J18" s="4">
        <v>2</v>
      </c>
      <c r="K18" s="10">
        <v>5</v>
      </c>
      <c r="L18" s="12">
        <f t="shared" si="1"/>
        <v>2.8</v>
      </c>
    </row>
    <row r="19" spans="1:12" ht="17.649999999999999" x14ac:dyDescent="0.35">
      <c r="A19" s="70" t="s">
        <v>101</v>
      </c>
      <c r="B19" s="6">
        <v>2</v>
      </c>
      <c r="C19" s="4">
        <v>1</v>
      </c>
      <c r="D19" s="6">
        <v>1</v>
      </c>
      <c r="E19" s="8">
        <v>2</v>
      </c>
      <c r="F19" s="20">
        <v>3</v>
      </c>
      <c r="G19" s="8">
        <v>1</v>
      </c>
      <c r="H19" s="4">
        <v>2</v>
      </c>
      <c r="I19" s="6">
        <v>2</v>
      </c>
      <c r="J19" s="4">
        <v>1</v>
      </c>
      <c r="K19" s="10">
        <v>2</v>
      </c>
      <c r="L19" s="12">
        <f t="shared" si="1"/>
        <v>1.7</v>
      </c>
    </row>
    <row r="20" spans="1:12" ht="17.649999999999999" x14ac:dyDescent="0.35">
      <c r="A20" s="70" t="s">
        <v>102</v>
      </c>
      <c r="B20" s="6">
        <v>3</v>
      </c>
      <c r="C20" s="4">
        <v>3</v>
      </c>
      <c r="D20" s="6">
        <v>2</v>
      </c>
      <c r="E20" s="8">
        <v>4</v>
      </c>
      <c r="F20" s="20">
        <v>2</v>
      </c>
      <c r="G20" s="8">
        <v>2</v>
      </c>
      <c r="H20" s="4">
        <v>3</v>
      </c>
      <c r="I20" s="6">
        <v>3</v>
      </c>
      <c r="J20" s="4">
        <v>3</v>
      </c>
      <c r="K20" s="10">
        <v>4</v>
      </c>
      <c r="L20" s="12">
        <f t="shared" si="1"/>
        <v>2.9</v>
      </c>
    </row>
    <row r="21" spans="1:12" ht="17.649999999999999" x14ac:dyDescent="0.35">
      <c r="A21" s="70" t="s">
        <v>103</v>
      </c>
      <c r="B21" s="6">
        <v>2</v>
      </c>
      <c r="C21" s="4">
        <v>1</v>
      </c>
      <c r="D21" s="6">
        <v>2</v>
      </c>
      <c r="E21" s="8">
        <v>3</v>
      </c>
      <c r="F21" s="20">
        <v>5</v>
      </c>
      <c r="G21" s="8">
        <v>1</v>
      </c>
      <c r="H21" s="4">
        <v>2</v>
      </c>
      <c r="I21" s="6">
        <v>2</v>
      </c>
      <c r="J21" s="4">
        <v>3</v>
      </c>
      <c r="K21" s="10">
        <v>3</v>
      </c>
      <c r="L21" s="12">
        <f t="shared" si="1"/>
        <v>2.4</v>
      </c>
    </row>
    <row r="22" spans="1:12" ht="17.649999999999999" x14ac:dyDescent="0.35">
      <c r="A22" s="70" t="s">
        <v>104</v>
      </c>
      <c r="B22" s="6">
        <v>2</v>
      </c>
      <c r="C22" s="4">
        <v>1</v>
      </c>
      <c r="D22" s="6">
        <v>2</v>
      </c>
      <c r="E22" s="8">
        <v>4</v>
      </c>
      <c r="F22" s="20">
        <v>3</v>
      </c>
      <c r="G22" s="8">
        <v>1</v>
      </c>
      <c r="H22" s="4">
        <v>2</v>
      </c>
      <c r="I22" s="6">
        <v>2</v>
      </c>
      <c r="J22" s="4">
        <v>1</v>
      </c>
      <c r="K22" s="10">
        <v>2</v>
      </c>
      <c r="L22" s="12">
        <f t="shared" si="1"/>
        <v>2</v>
      </c>
    </row>
    <row r="23" spans="1:12" ht="17.649999999999999" x14ac:dyDescent="0.35">
      <c r="A23" s="70" t="s">
        <v>106</v>
      </c>
      <c r="B23" s="79">
        <v>2</v>
      </c>
      <c r="C23" s="80">
        <v>3</v>
      </c>
      <c r="D23" s="81">
        <v>2</v>
      </c>
      <c r="E23" s="82">
        <v>2</v>
      </c>
      <c r="F23" s="79">
        <v>4</v>
      </c>
      <c r="G23" s="80">
        <v>1</v>
      </c>
      <c r="H23" s="79">
        <v>3</v>
      </c>
      <c r="I23" s="80">
        <v>2</v>
      </c>
      <c r="J23" s="79">
        <v>2</v>
      </c>
      <c r="K23" s="83">
        <v>4</v>
      </c>
      <c r="L23" s="73">
        <f t="shared" si="1"/>
        <v>2.5</v>
      </c>
    </row>
    <row r="24" spans="1:12" ht="17.649999999999999" x14ac:dyDescent="0.35">
      <c r="A24" s="72" t="s">
        <v>107</v>
      </c>
      <c r="B24" s="6">
        <v>2</v>
      </c>
      <c r="C24" s="4">
        <v>3</v>
      </c>
      <c r="D24" s="16">
        <v>4</v>
      </c>
      <c r="E24" s="18">
        <v>5</v>
      </c>
      <c r="F24" s="21">
        <v>3</v>
      </c>
      <c r="G24" s="8">
        <v>3</v>
      </c>
      <c r="H24" s="23">
        <v>3</v>
      </c>
      <c r="I24" s="16">
        <v>2</v>
      </c>
      <c r="J24" s="4">
        <v>3</v>
      </c>
      <c r="K24" s="23">
        <v>5</v>
      </c>
      <c r="L24" s="12">
        <f t="shared" si="1"/>
        <v>3.3</v>
      </c>
    </row>
    <row r="25" spans="1:12" ht="17.649999999999999" x14ac:dyDescent="0.35">
      <c r="A25" s="72" t="s">
        <v>108</v>
      </c>
      <c r="B25" s="6">
        <v>2</v>
      </c>
      <c r="C25" s="4">
        <v>2</v>
      </c>
      <c r="D25" s="16">
        <v>1</v>
      </c>
      <c r="E25" s="18">
        <v>1</v>
      </c>
      <c r="F25" s="21">
        <v>3</v>
      </c>
      <c r="G25" s="8">
        <v>2</v>
      </c>
      <c r="H25" s="23">
        <v>4</v>
      </c>
      <c r="I25" s="16">
        <v>2</v>
      </c>
      <c r="J25" s="4">
        <v>1</v>
      </c>
      <c r="K25" s="23">
        <v>3</v>
      </c>
      <c r="L25" s="12">
        <f t="shared" si="1"/>
        <v>2.1</v>
      </c>
    </row>
    <row r="26" spans="1:12" ht="17.649999999999999" x14ac:dyDescent="0.35">
      <c r="A26" s="72" t="s">
        <v>109</v>
      </c>
      <c r="B26" s="6">
        <v>3</v>
      </c>
      <c r="C26" s="4">
        <v>2</v>
      </c>
      <c r="D26" s="16">
        <v>2</v>
      </c>
      <c r="E26" s="18">
        <v>3</v>
      </c>
      <c r="F26" s="21">
        <v>4</v>
      </c>
      <c r="G26" s="8">
        <v>2</v>
      </c>
      <c r="H26" s="23">
        <v>3</v>
      </c>
      <c r="I26" s="16">
        <v>3</v>
      </c>
      <c r="J26" s="4">
        <v>2</v>
      </c>
      <c r="K26" s="23">
        <v>4</v>
      </c>
      <c r="L26" s="12">
        <f t="shared" si="1"/>
        <v>2.8</v>
      </c>
    </row>
    <row r="27" spans="1:12" ht="17.649999999999999" x14ac:dyDescent="0.35">
      <c r="A27" s="72" t="s">
        <v>110</v>
      </c>
      <c r="B27" s="6">
        <v>2</v>
      </c>
      <c r="C27" s="4">
        <v>3</v>
      </c>
      <c r="D27" s="16">
        <v>1</v>
      </c>
      <c r="E27" s="18">
        <v>3</v>
      </c>
      <c r="F27" s="21">
        <v>4</v>
      </c>
      <c r="G27" s="8">
        <v>2</v>
      </c>
      <c r="H27" s="23">
        <v>4</v>
      </c>
      <c r="I27" s="16">
        <v>2</v>
      </c>
      <c r="J27" s="4">
        <v>2</v>
      </c>
      <c r="K27" s="23">
        <v>4</v>
      </c>
      <c r="L27" s="12">
        <f t="shared" si="1"/>
        <v>2.7</v>
      </c>
    </row>
    <row r="28" spans="1:12" ht="17.649999999999999" x14ac:dyDescent="0.35">
      <c r="A28" s="72" t="s">
        <v>111</v>
      </c>
      <c r="B28" s="6">
        <v>3</v>
      </c>
      <c r="C28" s="4">
        <v>3</v>
      </c>
      <c r="D28" s="16">
        <v>2</v>
      </c>
      <c r="E28" s="18">
        <v>3</v>
      </c>
      <c r="F28" s="21">
        <v>5</v>
      </c>
      <c r="G28" s="8">
        <v>2</v>
      </c>
      <c r="H28" s="23">
        <v>4</v>
      </c>
      <c r="I28" s="16">
        <v>3</v>
      </c>
      <c r="J28" s="4">
        <v>3</v>
      </c>
      <c r="K28" s="23">
        <v>4</v>
      </c>
      <c r="L28" s="12">
        <f t="shared" si="1"/>
        <v>3.2</v>
      </c>
    </row>
    <row r="29" spans="1:12" ht="17.649999999999999" x14ac:dyDescent="0.35">
      <c r="A29" s="72" t="s">
        <v>112</v>
      </c>
      <c r="B29" s="6">
        <v>3</v>
      </c>
      <c r="C29" s="4">
        <v>3</v>
      </c>
      <c r="D29" s="16">
        <v>2</v>
      </c>
      <c r="E29" s="18">
        <v>4</v>
      </c>
      <c r="F29" s="21">
        <v>5</v>
      </c>
      <c r="G29" s="8">
        <v>2</v>
      </c>
      <c r="H29" s="23">
        <v>3</v>
      </c>
      <c r="I29" s="16">
        <v>3</v>
      </c>
      <c r="J29" s="4">
        <v>4</v>
      </c>
      <c r="K29" s="23">
        <v>4</v>
      </c>
      <c r="L29" s="12">
        <f t="shared" si="1"/>
        <v>3.3</v>
      </c>
    </row>
    <row r="30" spans="1:12" ht="17.649999999999999" x14ac:dyDescent="0.35">
      <c r="A30" s="77" t="s">
        <v>113</v>
      </c>
      <c r="B30" s="4"/>
      <c r="C30" s="6"/>
      <c r="D30" s="16" t="s">
        <v>18</v>
      </c>
      <c r="E30" s="18" t="s">
        <v>32</v>
      </c>
      <c r="F30" s="21" t="s">
        <v>31</v>
      </c>
      <c r="G30" s="8" t="s">
        <v>46</v>
      </c>
      <c r="H30" s="23" t="s">
        <v>72</v>
      </c>
      <c r="I30" s="6"/>
      <c r="J30" s="4" t="s">
        <v>59</v>
      </c>
      <c r="K30" s="23" t="s">
        <v>69</v>
      </c>
    </row>
    <row r="31" spans="1:12" ht="17.649999999999999" x14ac:dyDescent="0.35">
      <c r="A31" s="78" t="s">
        <v>114</v>
      </c>
      <c r="B31" s="5"/>
      <c r="C31" s="7"/>
      <c r="D31" s="17" t="s">
        <v>19</v>
      </c>
      <c r="E31" s="19"/>
      <c r="F31" s="22"/>
      <c r="G31" s="9"/>
      <c r="H31" s="24" t="s">
        <v>71</v>
      </c>
      <c r="I31" s="7"/>
      <c r="J31" s="5" t="s">
        <v>60</v>
      </c>
      <c r="K31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7082-20BF-F04F-B0B4-17B7BFB18012}">
  <dimension ref="A2:V31"/>
  <sheetViews>
    <sheetView topLeftCell="J34" zoomScale="130" zoomScaleNormal="130" workbookViewId="0">
      <selection activeCell="L49" sqref="L49"/>
    </sheetView>
  </sheetViews>
  <sheetFormatPr baseColWidth="10" defaultRowHeight="12.75" x14ac:dyDescent="0.35"/>
  <cols>
    <col min="1" max="1" width="35.33203125" customWidth="1"/>
    <col min="2" max="2" width="8.796875" customWidth="1"/>
    <col min="3" max="3" width="28.1328125" customWidth="1"/>
    <col min="4" max="4" width="16.796875" bestFit="1" customWidth="1"/>
    <col min="5" max="5" width="13.46484375" bestFit="1" customWidth="1"/>
    <col min="6" max="6" width="19.6640625" bestFit="1" customWidth="1"/>
    <col min="7" max="7" width="10.33203125" bestFit="1" customWidth="1"/>
    <col min="8" max="8" width="9.796875" bestFit="1" customWidth="1"/>
    <col min="9" max="9" width="10.796875" bestFit="1" customWidth="1"/>
    <col min="10" max="10" width="14.46484375" bestFit="1" customWidth="1"/>
    <col min="11" max="11" width="13.6640625" bestFit="1" customWidth="1"/>
    <col min="12" max="12" width="37.6640625" customWidth="1"/>
    <col min="13" max="13" width="38.1328125" bestFit="1" customWidth="1"/>
    <col min="14" max="14" width="28.33203125" customWidth="1"/>
    <col min="15" max="15" width="16.796875" bestFit="1" customWidth="1"/>
    <col min="16" max="16" width="14.33203125" bestFit="1" customWidth="1"/>
    <col min="17" max="17" width="18.796875" bestFit="1" customWidth="1"/>
    <col min="18" max="18" width="10.33203125" bestFit="1" customWidth="1"/>
    <col min="19" max="19" width="12.46484375" bestFit="1" customWidth="1"/>
    <col min="20" max="20" width="12.796875" bestFit="1" customWidth="1"/>
    <col min="21" max="21" width="13.6640625" bestFit="1" customWidth="1"/>
    <col min="22" max="22" width="25" style="15" customWidth="1"/>
    <col min="24" max="24" width="33.33203125" customWidth="1"/>
    <col min="25" max="25" width="13.1328125" customWidth="1"/>
    <col min="26" max="26" width="11.796875" customWidth="1"/>
    <col min="27" max="27" width="12.46484375" customWidth="1"/>
    <col min="28" max="28" width="13.33203125" customWidth="1"/>
    <col min="29" max="29" width="17.1328125" customWidth="1"/>
    <col min="30" max="30" width="116.46484375" bestFit="1" customWidth="1"/>
    <col min="31" max="31" width="31.796875" bestFit="1" customWidth="1"/>
  </cols>
  <sheetData>
    <row r="2" spans="1:12" ht="17.649999999999999" x14ac:dyDescent="0.35">
      <c r="A2" s="63" t="s">
        <v>84</v>
      </c>
      <c r="B2" s="4" t="s">
        <v>1</v>
      </c>
      <c r="C2" s="6" t="s">
        <v>3</v>
      </c>
      <c r="D2" s="4" t="s">
        <v>5</v>
      </c>
      <c r="E2" s="8" t="s">
        <v>15</v>
      </c>
      <c r="F2" s="4" t="s">
        <v>21</v>
      </c>
      <c r="G2" s="6" t="s">
        <v>26</v>
      </c>
      <c r="H2" s="4" t="s">
        <v>29</v>
      </c>
      <c r="I2" s="6" t="s">
        <v>11</v>
      </c>
      <c r="J2" s="4" t="s">
        <v>49</v>
      </c>
      <c r="K2" s="10" t="s">
        <v>70</v>
      </c>
      <c r="L2" s="11" t="s">
        <v>66</v>
      </c>
    </row>
    <row r="3" spans="1:12" ht="17.649999999999999" x14ac:dyDescent="0.35">
      <c r="A3" s="63" t="s">
        <v>85</v>
      </c>
      <c r="B3" s="4">
        <v>3</v>
      </c>
      <c r="C3" s="6">
        <v>3</v>
      </c>
      <c r="D3" s="4">
        <v>3</v>
      </c>
      <c r="E3" s="8">
        <v>3</v>
      </c>
      <c r="F3" s="4">
        <v>3</v>
      </c>
      <c r="G3" s="6">
        <v>3</v>
      </c>
      <c r="H3" s="4">
        <v>3</v>
      </c>
      <c r="I3" s="6">
        <v>3</v>
      </c>
      <c r="J3" s="4">
        <v>3</v>
      </c>
      <c r="K3" s="10">
        <v>3</v>
      </c>
    </row>
    <row r="4" spans="1:12" ht="17.649999999999999" x14ac:dyDescent="0.35">
      <c r="A4" s="63" t="s">
        <v>173</v>
      </c>
      <c r="B4" s="6">
        <v>3</v>
      </c>
      <c r="C4" s="4">
        <v>5</v>
      </c>
      <c r="D4" s="20">
        <v>1</v>
      </c>
      <c r="E4" s="6">
        <v>1</v>
      </c>
      <c r="F4" s="8">
        <v>3</v>
      </c>
      <c r="G4" s="20">
        <v>2</v>
      </c>
      <c r="H4" s="4">
        <v>2</v>
      </c>
      <c r="I4" s="20">
        <v>3</v>
      </c>
      <c r="J4" s="6">
        <v>4</v>
      </c>
      <c r="K4" s="10">
        <v>2</v>
      </c>
      <c r="L4" s="12">
        <f t="shared" ref="L4:L12" si="0">AVERAGE(B4:K4)</f>
        <v>2.6</v>
      </c>
    </row>
    <row r="5" spans="1:12" ht="17.649999999999999" x14ac:dyDescent="0.35">
      <c r="A5" s="63" t="s">
        <v>87</v>
      </c>
      <c r="B5" s="6">
        <v>2</v>
      </c>
      <c r="C5" s="4">
        <v>4</v>
      </c>
      <c r="D5" s="20">
        <v>1</v>
      </c>
      <c r="E5" s="6">
        <v>3</v>
      </c>
      <c r="F5" s="8">
        <v>2</v>
      </c>
      <c r="G5" s="20">
        <v>1</v>
      </c>
      <c r="H5" s="4">
        <v>1</v>
      </c>
      <c r="I5" s="20">
        <v>1</v>
      </c>
      <c r="J5" s="6">
        <v>3</v>
      </c>
      <c r="K5" s="10">
        <v>3</v>
      </c>
      <c r="L5" s="12">
        <f t="shared" si="0"/>
        <v>2.1</v>
      </c>
    </row>
    <row r="6" spans="1:12" ht="17.649999999999999" x14ac:dyDescent="0.35">
      <c r="A6" s="63" t="s">
        <v>88</v>
      </c>
      <c r="B6" s="6">
        <v>4</v>
      </c>
      <c r="C6" s="4">
        <v>2</v>
      </c>
      <c r="D6" s="20">
        <v>1</v>
      </c>
      <c r="E6" s="6">
        <v>1</v>
      </c>
      <c r="F6" s="8">
        <v>3</v>
      </c>
      <c r="G6" s="20">
        <v>2</v>
      </c>
      <c r="H6" s="4">
        <v>1</v>
      </c>
      <c r="I6" s="20">
        <v>3</v>
      </c>
      <c r="J6" s="6">
        <v>2</v>
      </c>
      <c r="K6" s="10">
        <v>1</v>
      </c>
      <c r="L6" s="12">
        <f t="shared" si="0"/>
        <v>2</v>
      </c>
    </row>
    <row r="7" spans="1:12" ht="17.649999999999999" x14ac:dyDescent="0.35">
      <c r="A7" s="63" t="s">
        <v>174</v>
      </c>
      <c r="B7" s="6">
        <v>4</v>
      </c>
      <c r="C7" s="4">
        <v>2</v>
      </c>
      <c r="D7" s="20">
        <v>1</v>
      </c>
      <c r="E7" s="6">
        <v>3</v>
      </c>
      <c r="F7" s="8">
        <v>3</v>
      </c>
      <c r="G7" s="20">
        <v>3</v>
      </c>
      <c r="H7" s="4">
        <v>1</v>
      </c>
      <c r="I7" s="20">
        <v>3</v>
      </c>
      <c r="J7" s="6">
        <v>2</v>
      </c>
      <c r="K7" s="10">
        <v>2</v>
      </c>
      <c r="L7" s="12">
        <f t="shared" si="0"/>
        <v>2.4</v>
      </c>
    </row>
    <row r="8" spans="1:12" ht="17.649999999999999" x14ac:dyDescent="0.35">
      <c r="A8" s="63" t="s">
        <v>90</v>
      </c>
      <c r="B8" s="6">
        <v>2</v>
      </c>
      <c r="C8" s="4">
        <v>2</v>
      </c>
      <c r="D8" s="20">
        <v>1</v>
      </c>
      <c r="E8" s="6">
        <v>2</v>
      </c>
      <c r="F8" s="8">
        <v>3</v>
      </c>
      <c r="G8" s="20">
        <v>1</v>
      </c>
      <c r="H8" s="4">
        <v>2</v>
      </c>
      <c r="I8" s="20">
        <v>2</v>
      </c>
      <c r="J8" s="6">
        <v>2</v>
      </c>
      <c r="K8" s="10">
        <v>1</v>
      </c>
      <c r="L8" s="12">
        <f t="shared" si="0"/>
        <v>1.8</v>
      </c>
    </row>
    <row r="9" spans="1:12" ht="17.649999999999999" x14ac:dyDescent="0.35">
      <c r="A9" s="63" t="s">
        <v>91</v>
      </c>
      <c r="B9" s="6">
        <v>2</v>
      </c>
      <c r="C9" s="4">
        <v>1</v>
      </c>
      <c r="D9" s="20">
        <v>1</v>
      </c>
      <c r="E9" s="6">
        <v>1</v>
      </c>
      <c r="F9" s="8">
        <v>1</v>
      </c>
      <c r="G9" s="20">
        <v>1</v>
      </c>
      <c r="H9" s="4">
        <v>1</v>
      </c>
      <c r="I9" s="20">
        <v>3</v>
      </c>
      <c r="J9" s="6">
        <v>4</v>
      </c>
      <c r="K9" s="10">
        <v>1</v>
      </c>
      <c r="L9" s="12">
        <f t="shared" si="0"/>
        <v>1.6</v>
      </c>
    </row>
    <row r="10" spans="1:12" ht="17.649999999999999" x14ac:dyDescent="0.35">
      <c r="A10" s="63" t="s">
        <v>92</v>
      </c>
      <c r="B10" s="6">
        <v>3</v>
      </c>
      <c r="C10" s="4">
        <v>3</v>
      </c>
      <c r="D10" s="20">
        <v>3</v>
      </c>
      <c r="E10" s="6">
        <v>4</v>
      </c>
      <c r="F10" s="8">
        <v>3</v>
      </c>
      <c r="G10" s="20">
        <v>1</v>
      </c>
      <c r="H10" s="4">
        <v>2</v>
      </c>
      <c r="I10" s="20">
        <v>3</v>
      </c>
      <c r="J10" s="6">
        <v>4</v>
      </c>
      <c r="K10" s="10">
        <v>4</v>
      </c>
      <c r="L10" s="12">
        <f t="shared" si="0"/>
        <v>3</v>
      </c>
    </row>
    <row r="11" spans="1:12" ht="17.649999999999999" x14ac:dyDescent="0.35">
      <c r="A11" s="63" t="s">
        <v>93</v>
      </c>
      <c r="B11" s="6">
        <v>3</v>
      </c>
      <c r="C11" s="4">
        <v>2</v>
      </c>
      <c r="D11" s="20">
        <v>1</v>
      </c>
      <c r="E11" s="6">
        <v>4</v>
      </c>
      <c r="F11" s="8">
        <v>3</v>
      </c>
      <c r="G11" s="20">
        <v>2</v>
      </c>
      <c r="H11" s="4">
        <v>3</v>
      </c>
      <c r="I11" s="20">
        <v>2</v>
      </c>
      <c r="J11" s="6">
        <v>2</v>
      </c>
      <c r="K11" s="10">
        <v>2</v>
      </c>
      <c r="L11" s="12">
        <f t="shared" si="0"/>
        <v>2.4</v>
      </c>
    </row>
    <row r="12" spans="1:12" ht="17.649999999999999" x14ac:dyDescent="0.35">
      <c r="A12" s="63" t="s">
        <v>94</v>
      </c>
      <c r="B12" s="6">
        <v>2</v>
      </c>
      <c r="C12" s="4">
        <v>1</v>
      </c>
      <c r="D12" s="20">
        <v>4</v>
      </c>
      <c r="E12" s="6">
        <v>2</v>
      </c>
      <c r="F12" s="8">
        <v>4</v>
      </c>
      <c r="G12" s="20">
        <v>2</v>
      </c>
      <c r="H12" s="4">
        <v>2</v>
      </c>
      <c r="I12" s="20">
        <v>3</v>
      </c>
      <c r="J12" s="6">
        <v>2</v>
      </c>
      <c r="K12" s="10">
        <v>2</v>
      </c>
      <c r="L12" s="12">
        <f t="shared" si="0"/>
        <v>2.4</v>
      </c>
    </row>
    <row r="13" spans="1:12" ht="17.649999999999999" x14ac:dyDescent="0.35">
      <c r="A13" s="63" t="s">
        <v>175</v>
      </c>
      <c r="B13" s="4"/>
      <c r="C13" s="6"/>
      <c r="D13" s="4"/>
      <c r="E13" s="8"/>
      <c r="F13" s="8" t="s">
        <v>34</v>
      </c>
      <c r="G13" s="6"/>
      <c r="H13" s="4"/>
      <c r="I13" s="20" t="s">
        <v>33</v>
      </c>
      <c r="J13" s="6" t="s">
        <v>61</v>
      </c>
      <c r="K13" s="3"/>
      <c r="L13" s="12"/>
    </row>
    <row r="14" spans="1:12" ht="17.649999999999999" x14ac:dyDescent="0.35">
      <c r="A14" s="63" t="s">
        <v>95</v>
      </c>
      <c r="B14" s="4"/>
      <c r="C14" s="6"/>
      <c r="D14" s="20" t="s">
        <v>36</v>
      </c>
      <c r="E14" s="8"/>
      <c r="F14" s="4"/>
      <c r="G14" s="6"/>
      <c r="H14" s="4"/>
      <c r="I14" s="6"/>
      <c r="J14" s="6" t="s">
        <v>73</v>
      </c>
      <c r="L14" s="12"/>
    </row>
    <row r="15" spans="1:12" ht="17.649999999999999" x14ac:dyDescent="0.35">
      <c r="A15" s="70" t="s">
        <v>97</v>
      </c>
      <c r="B15" s="6">
        <v>3</v>
      </c>
      <c r="C15" s="4">
        <v>4</v>
      </c>
      <c r="D15" s="20">
        <v>3</v>
      </c>
      <c r="E15" s="6">
        <v>1</v>
      </c>
      <c r="F15" s="8">
        <v>2</v>
      </c>
      <c r="G15" s="20">
        <v>2</v>
      </c>
      <c r="H15" s="4">
        <v>2</v>
      </c>
      <c r="I15" s="20">
        <v>3</v>
      </c>
      <c r="J15" s="6">
        <v>3</v>
      </c>
      <c r="K15" s="10">
        <v>2</v>
      </c>
      <c r="L15" s="12">
        <f t="shared" ref="L15:L29" si="1">AVERAGE(B15:K15)</f>
        <v>2.5</v>
      </c>
    </row>
    <row r="16" spans="1:12" ht="17.649999999999999" x14ac:dyDescent="0.35">
      <c r="A16" s="70" t="s">
        <v>98</v>
      </c>
      <c r="B16" s="6">
        <v>2</v>
      </c>
      <c r="C16" s="4">
        <v>3</v>
      </c>
      <c r="D16" s="20">
        <v>2</v>
      </c>
      <c r="E16" s="6">
        <v>3</v>
      </c>
      <c r="F16" s="8">
        <v>3</v>
      </c>
      <c r="G16" s="20">
        <v>1</v>
      </c>
      <c r="H16" s="4">
        <v>1</v>
      </c>
      <c r="I16" s="20">
        <v>2</v>
      </c>
      <c r="J16" s="6">
        <v>2</v>
      </c>
      <c r="K16" s="10">
        <v>2</v>
      </c>
      <c r="L16" s="12">
        <f t="shared" si="1"/>
        <v>2.1</v>
      </c>
    </row>
    <row r="17" spans="1:12" ht="17.649999999999999" x14ac:dyDescent="0.35">
      <c r="A17" s="70" t="s">
        <v>99</v>
      </c>
      <c r="B17" s="6">
        <v>3</v>
      </c>
      <c r="C17" s="4">
        <v>3</v>
      </c>
      <c r="D17" s="20">
        <v>1</v>
      </c>
      <c r="E17" s="6">
        <v>1</v>
      </c>
      <c r="F17" s="8">
        <v>4</v>
      </c>
      <c r="G17" s="20">
        <v>3</v>
      </c>
      <c r="H17" s="4">
        <v>2</v>
      </c>
      <c r="I17" s="20">
        <v>3</v>
      </c>
      <c r="J17" s="6">
        <v>3</v>
      </c>
      <c r="K17" s="10">
        <v>1</v>
      </c>
      <c r="L17" s="12">
        <f t="shared" si="1"/>
        <v>2.4</v>
      </c>
    </row>
    <row r="18" spans="1:12" ht="17.649999999999999" x14ac:dyDescent="0.35">
      <c r="A18" s="70" t="s">
        <v>100</v>
      </c>
      <c r="B18" s="6">
        <v>3</v>
      </c>
      <c r="C18" s="4">
        <v>3</v>
      </c>
      <c r="D18" s="20">
        <v>2</v>
      </c>
      <c r="E18" s="6">
        <v>3</v>
      </c>
      <c r="F18" s="8">
        <v>4</v>
      </c>
      <c r="G18" s="20">
        <v>2</v>
      </c>
      <c r="H18" s="4">
        <v>2</v>
      </c>
      <c r="I18" s="20">
        <v>3</v>
      </c>
      <c r="J18" s="6">
        <v>2</v>
      </c>
      <c r="K18" s="10">
        <v>3</v>
      </c>
      <c r="L18" s="12">
        <f t="shared" si="1"/>
        <v>2.7</v>
      </c>
    </row>
    <row r="19" spans="1:12" ht="17.649999999999999" x14ac:dyDescent="0.35">
      <c r="A19" s="70" t="s">
        <v>101</v>
      </c>
      <c r="B19" s="6">
        <v>2</v>
      </c>
      <c r="C19" s="4">
        <v>2</v>
      </c>
      <c r="D19" s="20">
        <v>1</v>
      </c>
      <c r="E19" s="6">
        <v>2</v>
      </c>
      <c r="F19" s="8">
        <v>3</v>
      </c>
      <c r="G19" s="20">
        <v>1</v>
      </c>
      <c r="H19" s="4">
        <v>2</v>
      </c>
      <c r="I19" s="20">
        <v>2</v>
      </c>
      <c r="J19" s="6">
        <v>2</v>
      </c>
      <c r="K19" s="10">
        <v>3</v>
      </c>
      <c r="L19" s="12">
        <f t="shared" si="1"/>
        <v>2</v>
      </c>
    </row>
    <row r="20" spans="1:12" ht="17.649999999999999" x14ac:dyDescent="0.35">
      <c r="A20" s="70" t="s">
        <v>102</v>
      </c>
      <c r="B20" s="6">
        <v>3</v>
      </c>
      <c r="C20" s="4">
        <v>3</v>
      </c>
      <c r="D20" s="20">
        <v>3</v>
      </c>
      <c r="E20" s="6">
        <v>4</v>
      </c>
      <c r="F20" s="8">
        <v>2</v>
      </c>
      <c r="G20" s="20">
        <v>3</v>
      </c>
      <c r="H20" s="4">
        <v>3</v>
      </c>
      <c r="I20" s="20">
        <v>3</v>
      </c>
      <c r="J20" s="6">
        <v>3</v>
      </c>
      <c r="K20" s="10">
        <v>4</v>
      </c>
      <c r="L20" s="12">
        <f t="shared" si="1"/>
        <v>3.1</v>
      </c>
    </row>
    <row r="21" spans="1:12" ht="17.649999999999999" x14ac:dyDescent="0.35">
      <c r="A21" s="70" t="s">
        <v>103</v>
      </c>
      <c r="B21" s="6">
        <v>3</v>
      </c>
      <c r="C21" s="4">
        <v>2</v>
      </c>
      <c r="D21" s="20">
        <v>1</v>
      </c>
      <c r="E21" s="6">
        <v>3</v>
      </c>
      <c r="F21" s="8">
        <v>3</v>
      </c>
      <c r="G21" s="20">
        <v>2</v>
      </c>
      <c r="H21" s="4">
        <v>2</v>
      </c>
      <c r="I21" s="20">
        <v>2</v>
      </c>
      <c r="J21" s="6">
        <v>2</v>
      </c>
      <c r="K21" s="10">
        <v>2</v>
      </c>
      <c r="L21" s="12">
        <f t="shared" si="1"/>
        <v>2.2000000000000002</v>
      </c>
    </row>
    <row r="22" spans="1:12" ht="17.649999999999999" x14ac:dyDescent="0.35">
      <c r="A22" s="70" t="s">
        <v>104</v>
      </c>
      <c r="B22" s="6">
        <v>2</v>
      </c>
      <c r="C22" s="4">
        <v>1</v>
      </c>
      <c r="D22" s="20">
        <v>1.5</v>
      </c>
      <c r="E22" s="6">
        <v>3</v>
      </c>
      <c r="F22" s="8">
        <v>3</v>
      </c>
      <c r="G22" s="20">
        <v>2</v>
      </c>
      <c r="H22" s="4">
        <v>1</v>
      </c>
      <c r="I22" s="20">
        <v>3</v>
      </c>
      <c r="J22" s="6">
        <v>1</v>
      </c>
      <c r="K22" s="10">
        <v>3</v>
      </c>
      <c r="L22" s="12">
        <f t="shared" si="1"/>
        <v>2.0499999999999998</v>
      </c>
    </row>
    <row r="23" spans="1:12" ht="17.649999999999999" x14ac:dyDescent="0.35">
      <c r="A23" s="70" t="s">
        <v>106</v>
      </c>
      <c r="B23" s="79">
        <v>3</v>
      </c>
      <c r="C23" s="80">
        <v>3</v>
      </c>
      <c r="D23" s="81">
        <v>3</v>
      </c>
      <c r="E23" s="82">
        <v>1</v>
      </c>
      <c r="F23" s="79">
        <v>3</v>
      </c>
      <c r="G23" s="80">
        <v>3</v>
      </c>
      <c r="H23" s="79">
        <v>3</v>
      </c>
      <c r="I23" s="80">
        <v>2</v>
      </c>
      <c r="J23" s="79">
        <v>4</v>
      </c>
      <c r="K23" s="83">
        <v>3</v>
      </c>
      <c r="L23" s="73">
        <f t="shared" si="1"/>
        <v>2.8</v>
      </c>
    </row>
    <row r="24" spans="1:12" ht="17.649999999999999" x14ac:dyDescent="0.35">
      <c r="A24" s="72" t="s">
        <v>107</v>
      </c>
      <c r="B24" s="16">
        <v>2</v>
      </c>
      <c r="C24" s="23">
        <v>4</v>
      </c>
      <c r="D24" s="21">
        <v>3</v>
      </c>
      <c r="E24" s="6">
        <v>5</v>
      </c>
      <c r="F24" s="8">
        <v>2</v>
      </c>
      <c r="G24" s="21">
        <v>3</v>
      </c>
      <c r="H24" s="23">
        <v>2</v>
      </c>
      <c r="I24" s="21">
        <v>5</v>
      </c>
      <c r="J24" s="16">
        <v>3</v>
      </c>
      <c r="K24" s="23">
        <v>3</v>
      </c>
      <c r="L24" s="12">
        <f t="shared" si="1"/>
        <v>3.2</v>
      </c>
    </row>
    <row r="25" spans="1:12" ht="17.649999999999999" x14ac:dyDescent="0.35">
      <c r="A25" s="72" t="s">
        <v>108</v>
      </c>
      <c r="B25" s="16">
        <v>4</v>
      </c>
      <c r="C25" s="23">
        <v>3</v>
      </c>
      <c r="D25" s="21">
        <v>1</v>
      </c>
      <c r="E25" s="6">
        <v>1</v>
      </c>
      <c r="F25" s="8">
        <v>3</v>
      </c>
      <c r="G25" s="21">
        <v>2</v>
      </c>
      <c r="H25" s="23">
        <v>2</v>
      </c>
      <c r="I25" s="21">
        <v>3</v>
      </c>
      <c r="J25" s="16">
        <v>3</v>
      </c>
      <c r="K25" s="23">
        <v>4</v>
      </c>
      <c r="L25" s="12">
        <f t="shared" si="1"/>
        <v>2.6</v>
      </c>
    </row>
    <row r="26" spans="1:12" ht="17.649999999999999" x14ac:dyDescent="0.35">
      <c r="A26" s="72" t="s">
        <v>109</v>
      </c>
      <c r="B26" s="16">
        <v>4</v>
      </c>
      <c r="C26" s="23">
        <v>3</v>
      </c>
      <c r="D26" s="21">
        <v>2</v>
      </c>
      <c r="E26" s="6">
        <v>3</v>
      </c>
      <c r="F26" s="8">
        <v>3</v>
      </c>
      <c r="G26" s="21">
        <v>2</v>
      </c>
      <c r="H26" s="23">
        <v>2</v>
      </c>
      <c r="I26" s="21">
        <v>4</v>
      </c>
      <c r="J26" s="16">
        <v>3</v>
      </c>
      <c r="K26" s="23">
        <v>3</v>
      </c>
      <c r="L26" s="12">
        <f t="shared" si="1"/>
        <v>2.9</v>
      </c>
    </row>
    <row r="27" spans="1:12" ht="17.649999999999999" x14ac:dyDescent="0.35">
      <c r="A27" s="72" t="s">
        <v>110</v>
      </c>
      <c r="B27" s="16">
        <v>3</v>
      </c>
      <c r="C27" s="23">
        <v>3</v>
      </c>
      <c r="D27" s="21">
        <v>3</v>
      </c>
      <c r="E27" s="6">
        <v>3</v>
      </c>
      <c r="F27" s="8">
        <v>2</v>
      </c>
      <c r="G27" s="21">
        <v>3</v>
      </c>
      <c r="H27" s="23">
        <v>2</v>
      </c>
      <c r="I27" s="21">
        <v>4</v>
      </c>
      <c r="J27" s="16">
        <v>4</v>
      </c>
      <c r="K27" s="23">
        <v>3.5</v>
      </c>
      <c r="L27" s="12">
        <f t="shared" si="1"/>
        <v>3.05</v>
      </c>
    </row>
    <row r="28" spans="1:12" ht="17.649999999999999" x14ac:dyDescent="0.35">
      <c r="A28" s="72" t="s">
        <v>111</v>
      </c>
      <c r="B28" s="16">
        <v>4</v>
      </c>
      <c r="C28" s="23">
        <v>3</v>
      </c>
      <c r="D28" s="21">
        <v>3</v>
      </c>
      <c r="E28" s="6">
        <v>3</v>
      </c>
      <c r="F28" s="8">
        <v>3</v>
      </c>
      <c r="G28" s="21">
        <v>3</v>
      </c>
      <c r="H28" s="23">
        <v>2</v>
      </c>
      <c r="I28" s="21">
        <v>4</v>
      </c>
      <c r="J28" s="16">
        <v>4</v>
      </c>
      <c r="K28" s="23">
        <v>3</v>
      </c>
      <c r="L28" s="12">
        <f t="shared" si="1"/>
        <v>3.2</v>
      </c>
    </row>
    <row r="29" spans="1:12" ht="17.649999999999999" x14ac:dyDescent="0.35">
      <c r="A29" s="72" t="s">
        <v>112</v>
      </c>
      <c r="B29" s="16">
        <v>3</v>
      </c>
      <c r="C29" s="23">
        <v>3</v>
      </c>
      <c r="D29" s="21">
        <v>3</v>
      </c>
      <c r="E29" s="6">
        <v>3</v>
      </c>
      <c r="F29" s="8">
        <v>3</v>
      </c>
      <c r="G29" s="21">
        <v>2</v>
      </c>
      <c r="H29" s="23">
        <v>2</v>
      </c>
      <c r="I29" s="21">
        <v>5</v>
      </c>
      <c r="J29" s="16">
        <v>4</v>
      </c>
      <c r="K29" s="23">
        <v>4</v>
      </c>
      <c r="L29" s="12">
        <f t="shared" si="1"/>
        <v>3.2</v>
      </c>
    </row>
    <row r="30" spans="1:12" ht="178.5" x14ac:dyDescent="0.35">
      <c r="A30" s="77" t="s">
        <v>113</v>
      </c>
      <c r="B30" s="16"/>
      <c r="C30" s="6"/>
      <c r="D30" s="21" t="s">
        <v>37</v>
      </c>
      <c r="E30" s="25" t="s">
        <v>47</v>
      </c>
      <c r="F30" s="8" t="s">
        <v>35</v>
      </c>
      <c r="G30" s="21" t="s">
        <v>55</v>
      </c>
      <c r="H30" s="23"/>
      <c r="I30" s="6"/>
      <c r="J30" s="16" t="s">
        <v>64</v>
      </c>
      <c r="K30" s="23" t="s">
        <v>74</v>
      </c>
    </row>
    <row r="31" spans="1:12" ht="17.649999999999999" x14ac:dyDescent="0.35">
      <c r="A31" s="78" t="s">
        <v>114</v>
      </c>
      <c r="B31" s="17"/>
      <c r="C31" s="7"/>
      <c r="D31" s="22" t="s">
        <v>38</v>
      </c>
      <c r="E31" s="7"/>
      <c r="F31" s="9"/>
      <c r="G31" s="9"/>
      <c r="H31" s="24"/>
      <c r="I31" s="7"/>
      <c r="J31" s="17" t="s">
        <v>65</v>
      </c>
      <c r="K31" s="2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EEC5-71B8-485D-9CEF-255E5A589D3C}">
  <dimension ref="A1:AD30"/>
  <sheetViews>
    <sheetView tabSelected="1" topLeftCell="B1" zoomScaleNormal="100" workbookViewId="0">
      <selection activeCell="J7" sqref="J7"/>
    </sheetView>
  </sheetViews>
  <sheetFormatPr baseColWidth="10" defaultRowHeight="12.75" x14ac:dyDescent="0.35"/>
  <cols>
    <col min="1" max="1" width="35.6640625" customWidth="1"/>
    <col min="2" max="2" width="21.1328125" bestFit="1" customWidth="1"/>
    <col min="3" max="3" width="21.46484375" bestFit="1" customWidth="1"/>
    <col min="4" max="4" width="18.46484375" bestFit="1" customWidth="1"/>
    <col min="5" max="5" width="24" bestFit="1" customWidth="1"/>
    <col min="6" max="6" width="14.86328125" bestFit="1" customWidth="1"/>
    <col min="7" max="7" width="14.6640625" bestFit="1" customWidth="1"/>
    <col min="8" max="8" width="16.06640625" bestFit="1" customWidth="1"/>
    <col min="9" max="9" width="18.33203125" bestFit="1" customWidth="1"/>
    <col min="10" max="10" width="17.1328125" bestFit="1" customWidth="1"/>
    <col min="11" max="11" width="22.1328125" bestFit="1" customWidth="1"/>
    <col min="12" max="12" width="38.796875" bestFit="1" customWidth="1"/>
    <col min="13" max="14" width="24.59765625" bestFit="1" customWidth="1"/>
    <col min="15" max="15" width="21.06640625" bestFit="1" customWidth="1"/>
    <col min="16" max="16" width="27.53125" bestFit="1" customWidth="1"/>
    <col min="17" max="17" width="17.1328125" bestFit="1" customWidth="1"/>
    <col min="18" max="18" width="19.73046875" bestFit="1" customWidth="1"/>
    <col min="19" max="19" width="20.796875" bestFit="1" customWidth="1"/>
    <col min="20" max="20" width="19.796875" bestFit="1" customWidth="1"/>
    <col min="21" max="21" width="36.9296875" style="15" bestFit="1" customWidth="1"/>
    <col min="23" max="23" width="26.1328125" bestFit="1" customWidth="1"/>
    <col min="24" max="24" width="27.33203125" bestFit="1" customWidth="1"/>
    <col min="25" max="25" width="30.9296875" bestFit="1" customWidth="1"/>
    <col min="26" max="26" width="45.86328125" bestFit="1" customWidth="1"/>
    <col min="27" max="27" width="24.86328125" bestFit="1" customWidth="1"/>
    <col min="28" max="28" width="30.33203125" bestFit="1" customWidth="1"/>
    <col min="29" max="29" width="10.46484375" bestFit="1" customWidth="1"/>
    <col min="30" max="30" width="15.796875" bestFit="1" customWidth="1"/>
  </cols>
  <sheetData>
    <row r="1" spans="1:30" x14ac:dyDescent="0.3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4"/>
      <c r="W1" s="12"/>
      <c r="X1" s="12"/>
      <c r="Y1" s="12"/>
      <c r="Z1" s="12"/>
      <c r="AA1" s="12"/>
      <c r="AB1" s="12"/>
    </row>
    <row r="2" spans="1:30" x14ac:dyDescent="0.35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4"/>
      <c r="W2" s="12"/>
      <c r="X2" s="12"/>
      <c r="Y2" s="12"/>
      <c r="Z2" s="12"/>
      <c r="AA2" s="12"/>
      <c r="AB2" s="12"/>
    </row>
    <row r="3" spans="1:30" ht="17.649999999999999" x14ac:dyDescent="0.35">
      <c r="A3" s="63" t="s">
        <v>85</v>
      </c>
      <c r="B3" s="74" t="s">
        <v>75</v>
      </c>
      <c r="C3" s="75" t="s">
        <v>76</v>
      </c>
      <c r="D3" s="74" t="s">
        <v>77</v>
      </c>
    </row>
    <row r="4" spans="1:30" s="66" customFormat="1" ht="17.649999999999999" x14ac:dyDescent="0.5">
      <c r="A4" s="63" t="s">
        <v>173</v>
      </c>
      <c r="B4" s="12">
        <v>1.9</v>
      </c>
      <c r="C4" s="8">
        <v>2.5</v>
      </c>
      <c r="D4" s="12">
        <v>2.6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8"/>
      <c r="W4" s="67"/>
      <c r="X4" s="67"/>
      <c r="Y4" s="67"/>
      <c r="Z4" s="67"/>
      <c r="AA4" s="67"/>
      <c r="AB4" s="67"/>
      <c r="AC4" s="69"/>
      <c r="AD4" s="67"/>
    </row>
    <row r="5" spans="1:30" ht="17.649999999999999" x14ac:dyDescent="0.35">
      <c r="A5" s="63" t="s">
        <v>87</v>
      </c>
      <c r="B5" s="12">
        <v>2</v>
      </c>
      <c r="C5" s="8">
        <v>1.9</v>
      </c>
      <c r="D5" s="12">
        <v>2.4</v>
      </c>
    </row>
    <row r="6" spans="1:30" ht="17.649999999999999" x14ac:dyDescent="0.35">
      <c r="A6" s="63" t="s">
        <v>88</v>
      </c>
      <c r="B6" s="12">
        <v>1.5</v>
      </c>
      <c r="C6" s="8">
        <v>1.8</v>
      </c>
      <c r="D6" s="12">
        <v>2</v>
      </c>
    </row>
    <row r="7" spans="1:30" ht="17.649999999999999" x14ac:dyDescent="0.4">
      <c r="A7" s="63" t="s">
        <v>174</v>
      </c>
      <c r="B7" s="12">
        <v>2</v>
      </c>
      <c r="C7" s="8">
        <v>2.4</v>
      </c>
      <c r="D7" s="12">
        <v>2.4</v>
      </c>
      <c r="H7" s="13"/>
    </row>
    <row r="8" spans="1:30" ht="17.649999999999999" x14ac:dyDescent="0.35">
      <c r="A8" s="63" t="s">
        <v>90</v>
      </c>
      <c r="B8" s="12">
        <v>1.4</v>
      </c>
      <c r="C8" s="8">
        <v>1.6</v>
      </c>
      <c r="D8" s="12">
        <v>1.8</v>
      </c>
    </row>
    <row r="9" spans="1:30" ht="17.649999999999999" x14ac:dyDescent="0.35">
      <c r="A9" s="63" t="s">
        <v>91</v>
      </c>
      <c r="B9" s="12">
        <v>1.4</v>
      </c>
      <c r="C9" s="8">
        <v>1.5</v>
      </c>
      <c r="D9" s="12">
        <v>1.6</v>
      </c>
    </row>
    <row r="10" spans="1:30" ht="17.649999999999999" x14ac:dyDescent="0.35">
      <c r="A10" s="63" t="s">
        <v>92</v>
      </c>
      <c r="B10" s="12">
        <v>2.4</v>
      </c>
      <c r="C10" s="8">
        <v>3</v>
      </c>
      <c r="D10" s="12">
        <v>3</v>
      </c>
    </row>
    <row r="11" spans="1:30" ht="17.649999999999999" x14ac:dyDescent="0.35">
      <c r="A11" s="63" t="s">
        <v>93</v>
      </c>
      <c r="B11" s="12">
        <v>2.1</v>
      </c>
      <c r="C11" s="8">
        <v>2.5</v>
      </c>
      <c r="D11" s="12">
        <v>2.4</v>
      </c>
    </row>
    <row r="12" spans="1:30" ht="17.649999999999999" x14ac:dyDescent="0.35">
      <c r="A12" s="63" t="s">
        <v>94</v>
      </c>
      <c r="B12" s="12">
        <v>2.2000000000000002</v>
      </c>
      <c r="C12" s="8">
        <v>1.85</v>
      </c>
      <c r="D12" s="12">
        <v>2.4</v>
      </c>
    </row>
    <row r="13" spans="1:30" ht="17.649999999999999" x14ac:dyDescent="0.35">
      <c r="A13" s="63" t="s">
        <v>95</v>
      </c>
      <c r="B13" s="12"/>
      <c r="C13" s="8"/>
      <c r="D13" s="12"/>
    </row>
    <row r="14" spans="1:30" ht="17.25" x14ac:dyDescent="0.35">
      <c r="A14" s="62" t="s">
        <v>176</v>
      </c>
      <c r="B14" s="12"/>
      <c r="C14" s="8"/>
      <c r="D14" s="12"/>
    </row>
    <row r="15" spans="1:30" ht="17.649999999999999" x14ac:dyDescent="0.35">
      <c r="A15" s="71" t="s">
        <v>97</v>
      </c>
      <c r="B15" s="12">
        <v>2.1</v>
      </c>
      <c r="C15" s="8">
        <v>2.6</v>
      </c>
      <c r="D15" s="12">
        <v>2.5</v>
      </c>
    </row>
    <row r="16" spans="1:30" ht="17.649999999999999" x14ac:dyDescent="0.35">
      <c r="A16" s="71" t="s">
        <v>98</v>
      </c>
      <c r="B16" s="12">
        <v>1.9</v>
      </c>
      <c r="C16" s="8">
        <v>1.8</v>
      </c>
      <c r="D16" s="12">
        <v>2.1</v>
      </c>
    </row>
    <row r="17" spans="1:11" ht="17.649999999999999" x14ac:dyDescent="0.35">
      <c r="A17" s="71" t="s">
        <v>99</v>
      </c>
      <c r="B17" s="12">
        <v>1.6</v>
      </c>
      <c r="C17" s="8">
        <v>1.9</v>
      </c>
      <c r="D17" s="12">
        <v>2.4</v>
      </c>
    </row>
    <row r="18" spans="1:11" ht="17.649999999999999" x14ac:dyDescent="0.35">
      <c r="A18" s="71" t="s">
        <v>100</v>
      </c>
      <c r="B18" s="12">
        <v>2.4</v>
      </c>
      <c r="C18" s="8">
        <v>2.8</v>
      </c>
      <c r="D18" s="12">
        <v>2.7</v>
      </c>
    </row>
    <row r="19" spans="1:11" ht="17.649999999999999" x14ac:dyDescent="0.35">
      <c r="A19" s="71" t="s">
        <v>101</v>
      </c>
      <c r="B19" s="12">
        <v>1.6</v>
      </c>
      <c r="C19" s="8">
        <v>1.7</v>
      </c>
      <c r="D19" s="12">
        <v>2</v>
      </c>
    </row>
    <row r="20" spans="1:11" ht="17.649999999999999" x14ac:dyDescent="0.35">
      <c r="A20" s="71" t="s">
        <v>102</v>
      </c>
      <c r="B20" s="12">
        <v>2.5</v>
      </c>
      <c r="C20" s="8">
        <v>2.9</v>
      </c>
      <c r="D20" s="12">
        <v>3.1</v>
      </c>
    </row>
    <row r="21" spans="1:11" ht="17.649999999999999" x14ac:dyDescent="0.35">
      <c r="A21" s="71" t="s">
        <v>103</v>
      </c>
      <c r="B21" s="12">
        <v>2.2000000000000002</v>
      </c>
      <c r="C21" s="8">
        <v>2.4</v>
      </c>
      <c r="D21" s="12">
        <v>2.2000000000000002</v>
      </c>
    </row>
    <row r="22" spans="1:11" ht="17.649999999999999" x14ac:dyDescent="0.35">
      <c r="A22" s="71" t="s">
        <v>104</v>
      </c>
      <c r="B22" s="12">
        <v>2.1</v>
      </c>
      <c r="C22" s="8">
        <v>2</v>
      </c>
      <c r="D22" s="12">
        <v>2.0499999999999998</v>
      </c>
    </row>
    <row r="23" spans="1:11" ht="17.649999999999999" x14ac:dyDescent="0.35">
      <c r="A23" s="71" t="s">
        <v>106</v>
      </c>
      <c r="B23" s="12">
        <v>2.6</v>
      </c>
      <c r="C23" s="8">
        <v>2.5</v>
      </c>
      <c r="D23" s="73">
        <v>2.8</v>
      </c>
    </row>
    <row r="25" spans="1:11" ht="17.649999999999999" x14ac:dyDescent="0.35">
      <c r="A25" s="72" t="s">
        <v>107</v>
      </c>
      <c r="B25" s="12">
        <v>3.1</v>
      </c>
      <c r="C25" s="8">
        <v>3.3</v>
      </c>
      <c r="D25" s="12">
        <v>3.2</v>
      </c>
    </row>
    <row r="26" spans="1:11" ht="17.649999999999999" x14ac:dyDescent="0.35">
      <c r="A26" s="72" t="s">
        <v>108</v>
      </c>
      <c r="B26" s="12">
        <v>2.1</v>
      </c>
      <c r="C26" s="8">
        <v>2.1</v>
      </c>
      <c r="D26" s="12">
        <v>2.6</v>
      </c>
    </row>
    <row r="27" spans="1:11" ht="17.649999999999999" x14ac:dyDescent="0.35">
      <c r="A27" s="72" t="s">
        <v>109</v>
      </c>
      <c r="B27" s="12">
        <v>2.4</v>
      </c>
      <c r="C27" s="8">
        <v>2.8</v>
      </c>
      <c r="D27" s="12">
        <v>2.9</v>
      </c>
    </row>
    <row r="28" spans="1:11" ht="17.649999999999999" x14ac:dyDescent="0.35">
      <c r="A28" s="72" t="s">
        <v>110</v>
      </c>
      <c r="B28" s="12">
        <v>2.6</v>
      </c>
      <c r="C28" s="8">
        <v>2.7</v>
      </c>
      <c r="D28" s="12">
        <v>3.05</v>
      </c>
    </row>
    <row r="29" spans="1:11" ht="17.649999999999999" x14ac:dyDescent="0.35">
      <c r="A29" s="72" t="s">
        <v>111</v>
      </c>
      <c r="B29" s="12">
        <v>2.9</v>
      </c>
      <c r="C29" s="8">
        <v>3.2</v>
      </c>
      <c r="D29" s="12">
        <v>3.2</v>
      </c>
      <c r="K29" s="3"/>
    </row>
    <row r="30" spans="1:11" ht="17.649999999999999" x14ac:dyDescent="0.35">
      <c r="A30" s="72" t="s">
        <v>112</v>
      </c>
      <c r="B30" s="12">
        <v>3.8</v>
      </c>
      <c r="C30" s="8">
        <v>3.3</v>
      </c>
      <c r="D30" s="12">
        <v>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Respuestas de formulario 1</vt:lpstr>
      <vt:lpstr>Muestra 1</vt:lpstr>
      <vt:lpstr>Muestra 2</vt:lpstr>
      <vt:lpstr>Muestra 3</vt:lpstr>
      <vt:lpstr>Levaduras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Navarro Calderon</cp:lastModifiedBy>
  <dcterms:created xsi:type="dcterms:W3CDTF">2024-10-02T16:53:51Z</dcterms:created>
  <dcterms:modified xsi:type="dcterms:W3CDTF">2026-05-14T00:25:58Z</dcterms:modified>
</cp:coreProperties>
</file>