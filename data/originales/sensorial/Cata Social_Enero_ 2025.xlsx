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6.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7.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lena\OneDrive - usach.cl\Escritorio\Tesis\"/>
    </mc:Choice>
  </mc:AlternateContent>
  <xr:revisionPtr revIDLastSave="0" documentId="13_ncr:1_{4ED1DE55-D09B-4125-A9A0-C01745842829}" xr6:coauthVersionLast="47" xr6:coauthVersionMax="47" xr10:uidLastSave="{00000000-0000-0000-0000-000000000000}"/>
  <bookViews>
    <workbookView xWindow="-98" yWindow="-98" windowWidth="21795" windowHeight="12975" activeTab="1" xr2:uid="{00000000-000D-0000-FFFF-FFFF00000000}"/>
  </bookViews>
  <sheets>
    <sheet name="Respuestas de formulario 1" sheetId="1" r:id="rId1"/>
    <sheet name="Muestra 1" sheetId="2" r:id="rId2"/>
    <sheet name="Muestra 2" sheetId="4" r:id="rId3"/>
    <sheet name="Muestra 3" sheetId="6" r:id="rId4"/>
    <sheet name="Muestra 4" sheetId="7" r:id="rId5"/>
    <sheet name="Muestra 7" sheetId="10" r:id="rId6"/>
    <sheet name="Comparación" sheetId="3" r:id="rId7"/>
    <sheet name="Comparación (2)" sheetId="12" r:id="rId8"/>
  </sheets>
  <definedNames>
    <definedName name="_xlnm._FilterDatabase" localSheetId="1" hidden="1">'Muestra 1'!$A$1:$AF$33</definedName>
    <definedName name="_xlnm._FilterDatabase" localSheetId="2" hidden="1">'Muestra 2'!$A$1:$AF$32</definedName>
    <definedName name="_xlnm._FilterDatabase" localSheetId="3" hidden="1">'Muestra 3'!$A$1:$AF$33</definedName>
    <definedName name="_xlnm._FilterDatabase" localSheetId="4" hidden="1">'Muestra 4'!$A$1:$AF$33</definedName>
    <definedName name="_xlnm._FilterDatabase" localSheetId="5" hidden="1">'Muestra 7'!$A$1:$AF$33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76" i="10" l="1"/>
  <c r="AC76" i="10"/>
  <c r="AB76" i="10"/>
  <c r="AA76" i="10"/>
  <c r="Z76" i="10"/>
  <c r="Y76" i="10"/>
  <c r="X76" i="10"/>
  <c r="V76" i="10"/>
  <c r="U76" i="10"/>
  <c r="T76" i="10"/>
  <c r="S76" i="10"/>
  <c r="R76" i="10"/>
  <c r="Q76" i="10"/>
  <c r="P76" i="10"/>
  <c r="O76" i="10"/>
  <c r="M76" i="10"/>
  <c r="L76" i="10"/>
  <c r="K76" i="10"/>
  <c r="I76" i="10"/>
  <c r="H76" i="10"/>
  <c r="G76" i="10"/>
  <c r="F76" i="10"/>
  <c r="E76" i="10"/>
  <c r="D76" i="10"/>
  <c r="AE52" i="10"/>
  <c r="AD52" i="10"/>
  <c r="AC52" i="10"/>
  <c r="AB52" i="10"/>
  <c r="AA52" i="10"/>
  <c r="Z52" i="10"/>
  <c r="Y52" i="10"/>
  <c r="X52" i="10"/>
  <c r="V52" i="10"/>
  <c r="U52" i="10"/>
  <c r="T52" i="10"/>
  <c r="S52" i="10"/>
  <c r="R52" i="10"/>
  <c r="Q52" i="10"/>
  <c r="P52" i="10"/>
  <c r="O52" i="10"/>
  <c r="M52" i="10"/>
  <c r="L52" i="10"/>
  <c r="K52" i="10"/>
  <c r="I52" i="10"/>
  <c r="H52" i="10"/>
  <c r="G52" i="10"/>
  <c r="F52" i="10"/>
  <c r="E52" i="10"/>
  <c r="D52" i="10"/>
  <c r="AD41" i="10"/>
  <c r="AC41" i="10"/>
  <c r="AB41" i="10"/>
  <c r="AA41" i="10"/>
  <c r="Z41" i="10"/>
  <c r="Y41" i="10"/>
  <c r="X41" i="10"/>
  <c r="V41" i="10"/>
  <c r="U41" i="10"/>
  <c r="T41" i="10"/>
  <c r="S41" i="10"/>
  <c r="R41" i="10"/>
  <c r="Q41" i="10"/>
  <c r="P41" i="10"/>
  <c r="O41" i="10"/>
  <c r="M41" i="10"/>
  <c r="L41" i="10"/>
  <c r="K41" i="10"/>
  <c r="I41" i="10"/>
  <c r="H41" i="10"/>
  <c r="G41" i="10"/>
  <c r="F41" i="10"/>
  <c r="E41" i="10"/>
  <c r="D41" i="10"/>
  <c r="AD33" i="10"/>
  <c r="AC33" i="10"/>
  <c r="AB33" i="10"/>
  <c r="AA33" i="10"/>
  <c r="Z33" i="10"/>
  <c r="Y33" i="10"/>
  <c r="X33" i="10"/>
  <c r="V33" i="10"/>
  <c r="U33" i="10"/>
  <c r="T33" i="10"/>
  <c r="S33" i="10"/>
  <c r="R33" i="10"/>
  <c r="Q33" i="10"/>
  <c r="P33" i="10"/>
  <c r="O33" i="10"/>
  <c r="M33" i="10"/>
  <c r="L33" i="10"/>
  <c r="K33" i="10"/>
  <c r="I33" i="10"/>
  <c r="H33" i="10"/>
  <c r="G33" i="10"/>
  <c r="F33" i="10"/>
  <c r="E33" i="10"/>
  <c r="D33" i="10"/>
  <c r="AD75" i="7"/>
  <c r="AC75" i="7"/>
  <c r="AB75" i="7"/>
  <c r="AA75" i="7"/>
  <c r="Z75" i="7"/>
  <c r="Y75" i="7"/>
  <c r="X75" i="7"/>
  <c r="V75" i="7"/>
  <c r="U75" i="7"/>
  <c r="T75" i="7"/>
  <c r="S75" i="7"/>
  <c r="R75" i="7"/>
  <c r="Q75" i="7"/>
  <c r="P75" i="7"/>
  <c r="O75" i="7"/>
  <c r="M75" i="7"/>
  <c r="L75" i="7"/>
  <c r="K75" i="7"/>
  <c r="I75" i="7"/>
  <c r="H75" i="7"/>
  <c r="G75" i="7"/>
  <c r="F75" i="7"/>
  <c r="E75" i="7"/>
  <c r="D75" i="7"/>
  <c r="AE52" i="7"/>
  <c r="AD52" i="7"/>
  <c r="AC52" i="7"/>
  <c r="AB52" i="7"/>
  <c r="AA52" i="7"/>
  <c r="Z52" i="7"/>
  <c r="Y52" i="7"/>
  <c r="X52" i="7"/>
  <c r="V52" i="7"/>
  <c r="U52" i="7"/>
  <c r="T52" i="7"/>
  <c r="S52" i="7"/>
  <c r="R52" i="7"/>
  <c r="Q52" i="7"/>
  <c r="P52" i="7"/>
  <c r="O52" i="7"/>
  <c r="M52" i="7"/>
  <c r="L52" i="7"/>
  <c r="K52" i="7"/>
  <c r="I52" i="7"/>
  <c r="H52" i="7"/>
  <c r="G52" i="7"/>
  <c r="F52" i="7"/>
  <c r="E52" i="7"/>
  <c r="D52" i="7"/>
  <c r="AD41" i="7"/>
  <c r="AC41" i="7"/>
  <c r="AB41" i="7"/>
  <c r="AA41" i="7"/>
  <c r="Z41" i="7"/>
  <c r="Y41" i="7"/>
  <c r="X41" i="7"/>
  <c r="V41" i="7"/>
  <c r="U41" i="7"/>
  <c r="T41" i="7"/>
  <c r="S41" i="7"/>
  <c r="R41" i="7"/>
  <c r="Q41" i="7"/>
  <c r="P41" i="7"/>
  <c r="O41" i="7"/>
  <c r="M41" i="7"/>
  <c r="L41" i="7"/>
  <c r="K41" i="7"/>
  <c r="I41" i="7"/>
  <c r="H41" i="7"/>
  <c r="G41" i="7"/>
  <c r="F41" i="7"/>
  <c r="E41" i="7"/>
  <c r="D41" i="7"/>
  <c r="AD33" i="7"/>
  <c r="AC33" i="7"/>
  <c r="AB33" i="7"/>
  <c r="AA33" i="7"/>
  <c r="Z33" i="7"/>
  <c r="Y33" i="7"/>
  <c r="X33" i="7"/>
  <c r="V33" i="7"/>
  <c r="U33" i="7"/>
  <c r="T33" i="7"/>
  <c r="S33" i="7"/>
  <c r="R33" i="7"/>
  <c r="Q33" i="7"/>
  <c r="P33" i="7"/>
  <c r="O33" i="7"/>
  <c r="M33" i="7"/>
  <c r="L33" i="7"/>
  <c r="K33" i="7"/>
  <c r="I33" i="7"/>
  <c r="H33" i="7"/>
  <c r="G33" i="7"/>
  <c r="F33" i="7"/>
  <c r="E33" i="7"/>
  <c r="D33" i="7"/>
  <c r="D33" i="6"/>
  <c r="AD76" i="6"/>
  <c r="AC76" i="6"/>
  <c r="AB76" i="6"/>
  <c r="AA76" i="6"/>
  <c r="Z76" i="6"/>
  <c r="Y76" i="6"/>
  <c r="X76" i="6"/>
  <c r="V76" i="6"/>
  <c r="U76" i="6"/>
  <c r="T76" i="6"/>
  <c r="S76" i="6"/>
  <c r="R76" i="6"/>
  <c r="Q76" i="6"/>
  <c r="P76" i="6"/>
  <c r="O76" i="6"/>
  <c r="M76" i="6"/>
  <c r="L76" i="6"/>
  <c r="K76" i="6"/>
  <c r="I76" i="6"/>
  <c r="H76" i="6"/>
  <c r="G76" i="6"/>
  <c r="F76" i="6"/>
  <c r="E76" i="6"/>
  <c r="D76" i="6"/>
  <c r="AE52" i="6"/>
  <c r="AD52" i="6"/>
  <c r="AC52" i="6"/>
  <c r="AB52" i="6"/>
  <c r="AA52" i="6"/>
  <c r="Z52" i="6"/>
  <c r="Y52" i="6"/>
  <c r="X52" i="6"/>
  <c r="V52" i="6"/>
  <c r="U52" i="6"/>
  <c r="T52" i="6"/>
  <c r="S52" i="6"/>
  <c r="R52" i="6"/>
  <c r="Q52" i="6"/>
  <c r="P52" i="6"/>
  <c r="O52" i="6"/>
  <c r="M52" i="6"/>
  <c r="L52" i="6"/>
  <c r="K52" i="6"/>
  <c r="I52" i="6"/>
  <c r="H52" i="6"/>
  <c r="G52" i="6"/>
  <c r="F52" i="6"/>
  <c r="E52" i="6"/>
  <c r="D52" i="6"/>
  <c r="AD41" i="6"/>
  <c r="AC41" i="6"/>
  <c r="AB41" i="6"/>
  <c r="AA41" i="6"/>
  <c r="Z41" i="6"/>
  <c r="Y41" i="6"/>
  <c r="X41" i="6"/>
  <c r="V41" i="6"/>
  <c r="U41" i="6"/>
  <c r="T41" i="6"/>
  <c r="S41" i="6"/>
  <c r="R41" i="6"/>
  <c r="Q41" i="6"/>
  <c r="P41" i="6"/>
  <c r="O41" i="6"/>
  <c r="M41" i="6"/>
  <c r="L41" i="6"/>
  <c r="K41" i="6"/>
  <c r="I41" i="6"/>
  <c r="H41" i="6"/>
  <c r="G41" i="6"/>
  <c r="F41" i="6"/>
  <c r="E41" i="6"/>
  <c r="D41" i="6"/>
  <c r="AD33" i="6"/>
  <c r="AC33" i="6"/>
  <c r="AB33" i="6"/>
  <c r="AA33" i="6"/>
  <c r="Z33" i="6"/>
  <c r="Y33" i="6"/>
  <c r="X33" i="6"/>
  <c r="V33" i="6"/>
  <c r="U33" i="6"/>
  <c r="T33" i="6"/>
  <c r="S33" i="6"/>
  <c r="R33" i="6"/>
  <c r="Q33" i="6"/>
  <c r="P33" i="6"/>
  <c r="O33" i="6"/>
  <c r="M33" i="6"/>
  <c r="L33" i="6"/>
  <c r="K33" i="6"/>
  <c r="I33" i="6"/>
  <c r="H33" i="6"/>
  <c r="G33" i="6"/>
  <c r="F33" i="6"/>
  <c r="E33" i="6"/>
  <c r="AD74" i="4"/>
  <c r="AC74" i="4"/>
  <c r="AB74" i="4"/>
  <c r="AA74" i="4"/>
  <c r="Z74" i="4"/>
  <c r="Y74" i="4"/>
  <c r="X74" i="4"/>
  <c r="V74" i="4"/>
  <c r="U74" i="4"/>
  <c r="T74" i="4"/>
  <c r="S74" i="4"/>
  <c r="R74" i="4"/>
  <c r="Q74" i="4"/>
  <c r="P74" i="4"/>
  <c r="O74" i="4"/>
  <c r="M74" i="4"/>
  <c r="L74" i="4"/>
  <c r="K74" i="4"/>
  <c r="I74" i="4"/>
  <c r="H74" i="4"/>
  <c r="G74" i="4"/>
  <c r="F74" i="4"/>
  <c r="E74" i="4"/>
  <c r="D74" i="4"/>
  <c r="AE51" i="4"/>
  <c r="AD51" i="4"/>
  <c r="AC51" i="4"/>
  <c r="AB51" i="4"/>
  <c r="AA51" i="4"/>
  <c r="Z51" i="4"/>
  <c r="Y51" i="4"/>
  <c r="X51" i="4"/>
  <c r="V51" i="4"/>
  <c r="U51" i="4"/>
  <c r="T51" i="4"/>
  <c r="S51" i="4"/>
  <c r="R51" i="4"/>
  <c r="Q51" i="4"/>
  <c r="P51" i="4"/>
  <c r="O51" i="4"/>
  <c r="M51" i="4"/>
  <c r="L51" i="4"/>
  <c r="K51" i="4"/>
  <c r="I51" i="4"/>
  <c r="H51" i="4"/>
  <c r="G51" i="4"/>
  <c r="F51" i="4"/>
  <c r="E51" i="4"/>
  <c r="D51" i="4"/>
  <c r="AD40" i="4"/>
  <c r="AC40" i="4"/>
  <c r="AB40" i="4"/>
  <c r="AA40" i="4"/>
  <c r="Z40" i="4"/>
  <c r="Y40" i="4"/>
  <c r="X40" i="4"/>
  <c r="V40" i="4"/>
  <c r="U40" i="4"/>
  <c r="T40" i="4"/>
  <c r="S40" i="4"/>
  <c r="R40" i="4"/>
  <c r="Q40" i="4"/>
  <c r="P40" i="4"/>
  <c r="O40" i="4"/>
  <c r="M40" i="4"/>
  <c r="L40" i="4"/>
  <c r="K40" i="4"/>
  <c r="I40" i="4"/>
  <c r="H40" i="4"/>
  <c r="G40" i="4"/>
  <c r="F40" i="4"/>
  <c r="E40" i="4"/>
  <c r="D40" i="4"/>
  <c r="AD32" i="4"/>
  <c r="AC32" i="4"/>
  <c r="AB32" i="4"/>
  <c r="AA32" i="4"/>
  <c r="Z32" i="4"/>
  <c r="Y32" i="4"/>
  <c r="X32" i="4"/>
  <c r="V32" i="4"/>
  <c r="U32" i="4"/>
  <c r="T32" i="4"/>
  <c r="S32" i="4"/>
  <c r="R32" i="4"/>
  <c r="Q32" i="4"/>
  <c r="P32" i="4"/>
  <c r="O32" i="4"/>
  <c r="M32" i="4"/>
  <c r="L32" i="4"/>
  <c r="K32" i="4"/>
  <c r="I32" i="4"/>
  <c r="H32" i="4"/>
  <c r="G32" i="4"/>
  <c r="F32" i="4"/>
  <c r="E32" i="4"/>
  <c r="D32" i="4"/>
  <c r="AD76" i="2"/>
  <c r="E76" i="2"/>
  <c r="F76" i="2"/>
  <c r="G76" i="2"/>
  <c r="H76" i="2"/>
  <c r="I76" i="2"/>
  <c r="K76" i="2"/>
  <c r="L76" i="2"/>
  <c r="M76" i="2"/>
  <c r="O76" i="2"/>
  <c r="P76" i="2"/>
  <c r="Q76" i="2"/>
  <c r="R76" i="2"/>
  <c r="S76" i="2"/>
  <c r="T76" i="2"/>
  <c r="U76" i="2"/>
  <c r="V76" i="2"/>
  <c r="X76" i="2"/>
  <c r="Y76" i="2"/>
  <c r="Z76" i="2"/>
  <c r="AA76" i="2"/>
  <c r="AB76" i="2"/>
  <c r="AC76" i="2"/>
  <c r="D76" i="2"/>
  <c r="E52" i="2"/>
  <c r="F52" i="2"/>
  <c r="G52" i="2"/>
  <c r="H52" i="2"/>
  <c r="I52" i="2"/>
  <c r="K52" i="2"/>
  <c r="L52" i="2"/>
  <c r="M52" i="2"/>
  <c r="O52" i="2"/>
  <c r="P52" i="2"/>
  <c r="Q52" i="2"/>
  <c r="R52" i="2"/>
  <c r="S52" i="2"/>
  <c r="T52" i="2"/>
  <c r="U52" i="2"/>
  <c r="V52" i="2"/>
  <c r="X52" i="2"/>
  <c r="Y52" i="2"/>
  <c r="Z52" i="2"/>
  <c r="AA52" i="2"/>
  <c r="AB52" i="2"/>
  <c r="AC52" i="2"/>
  <c r="AD52" i="2"/>
  <c r="AE52" i="2"/>
  <c r="D52" i="2"/>
  <c r="E41" i="2"/>
  <c r="F41" i="2"/>
  <c r="G41" i="2"/>
  <c r="H41" i="2"/>
  <c r="I41" i="2"/>
  <c r="K41" i="2"/>
  <c r="L41" i="2"/>
  <c r="M41" i="2"/>
  <c r="O41" i="2"/>
  <c r="P41" i="2"/>
  <c r="Q41" i="2"/>
  <c r="R41" i="2"/>
  <c r="S41" i="2"/>
  <c r="T41" i="2"/>
  <c r="U41" i="2"/>
  <c r="V41" i="2"/>
  <c r="X41" i="2"/>
  <c r="Y41" i="2"/>
  <c r="Z41" i="2"/>
  <c r="AA41" i="2"/>
  <c r="AB41" i="2"/>
  <c r="AC41" i="2"/>
  <c r="AD41" i="2"/>
  <c r="D41" i="2"/>
  <c r="E33" i="2"/>
  <c r="F33" i="2"/>
  <c r="G33" i="2"/>
  <c r="H33" i="2"/>
  <c r="I33" i="2"/>
  <c r="K33" i="2"/>
  <c r="L33" i="2"/>
  <c r="M33" i="2"/>
  <c r="O33" i="2"/>
  <c r="P33" i="2"/>
  <c r="Q33" i="2"/>
  <c r="R33" i="2"/>
  <c r="S33" i="2"/>
  <c r="T33" i="2"/>
  <c r="U33" i="2"/>
  <c r="V33" i="2"/>
  <c r="X33" i="2"/>
  <c r="Y33" i="2"/>
  <c r="Z33" i="2"/>
  <c r="AA33" i="2"/>
  <c r="AB33" i="2"/>
  <c r="AC33" i="2"/>
  <c r="AD33" i="2"/>
  <c r="D33" i="2"/>
</calcChain>
</file>

<file path=xl/sharedStrings.xml><?xml version="1.0" encoding="utf-8"?>
<sst xmlns="http://schemas.openxmlformats.org/spreadsheetml/2006/main" count="2728" uniqueCount="353">
  <si>
    <t>Marca temporal</t>
  </si>
  <si>
    <t>Nombre de catador/a</t>
  </si>
  <si>
    <t xml:space="preserve">Categorización de catador </t>
  </si>
  <si>
    <t>N° Muestra a analizar</t>
  </si>
  <si>
    <r>
      <t xml:space="preserve">Si marcó </t>
    </r>
    <r>
      <rPr>
        <b/>
        <sz val="10"/>
        <color theme="1"/>
        <rFont val="Arial"/>
        <family val="2"/>
      </rPr>
      <t xml:space="preserve">otro,  </t>
    </r>
    <r>
      <rPr>
        <sz val="10"/>
        <color theme="1"/>
        <rFont val="Arial"/>
        <family val="2"/>
      </rPr>
      <t>especifique el descriptor que percibió</t>
    </r>
  </si>
  <si>
    <r>
      <t xml:space="preserve">Si percibió </t>
    </r>
    <r>
      <rPr>
        <b/>
        <sz val="10"/>
        <color theme="1"/>
        <rFont val="Arial"/>
        <family val="2"/>
      </rPr>
      <t>otras notas aromáticas</t>
    </r>
    <r>
      <rPr>
        <sz val="10"/>
        <color theme="1"/>
        <rFont val="Arial"/>
        <family val="2"/>
      </rPr>
      <t xml:space="preserve"> en el destilado, especifique</t>
    </r>
  </si>
  <si>
    <r>
      <t xml:space="preserve">Si percibió </t>
    </r>
    <r>
      <rPr>
        <b/>
        <sz val="10"/>
        <color theme="1"/>
        <rFont val="Arial"/>
        <family val="2"/>
      </rPr>
      <t>otras notas de sabores</t>
    </r>
    <r>
      <rPr>
        <sz val="10"/>
        <color theme="1"/>
        <rFont val="Arial"/>
        <family val="2"/>
      </rPr>
      <t xml:space="preserve"> en el destilado, especifique</t>
    </r>
  </si>
  <si>
    <t>SABOR: Sensación en boca</t>
  </si>
  <si>
    <r>
      <rPr>
        <b/>
        <sz val="10"/>
        <color theme="1"/>
        <rFont val="Arial"/>
        <family val="2"/>
      </rPr>
      <t>REGUSTO-FINAL</t>
    </r>
    <r>
      <rPr>
        <sz val="10"/>
        <color theme="1"/>
        <rFont val="Arial"/>
        <family val="2"/>
      </rPr>
      <t xml:space="preserve">
Seleccionar solo una opción por cada fila [Duración]</t>
    </r>
  </si>
  <si>
    <r>
      <rPr>
        <b/>
        <sz val="10"/>
        <color theme="1"/>
        <rFont val="Arial"/>
        <family val="2"/>
      </rPr>
      <t>REGUSTO-FINAL</t>
    </r>
    <r>
      <rPr>
        <sz val="10"/>
        <color theme="1"/>
        <rFont val="Arial"/>
        <family val="2"/>
      </rPr>
      <t xml:space="preserve">
Seleccionar solo una opción por cada fila [Ahumado]</t>
    </r>
  </si>
  <si>
    <r>
      <rPr>
        <b/>
        <sz val="10"/>
        <color theme="1"/>
        <rFont val="Arial"/>
        <family val="2"/>
      </rPr>
      <t>REGUSTO-FINAL</t>
    </r>
    <r>
      <rPr>
        <sz val="10"/>
        <color theme="1"/>
        <rFont val="Arial"/>
        <family val="2"/>
      </rPr>
      <t xml:space="preserve">
Seleccionar solo una opción por cada fila [Complejidad]</t>
    </r>
  </si>
  <si>
    <r>
      <rPr>
        <b/>
        <sz val="10"/>
        <color theme="1"/>
        <rFont val="Arial"/>
        <family val="2"/>
      </rPr>
      <t>Integración del ahumado con otros sabores</t>
    </r>
    <r>
      <rPr>
        <sz val="10"/>
        <color theme="1"/>
        <rFont val="Arial"/>
        <family val="2"/>
      </rPr>
      <t xml:space="preserve">
1: El ahumado domina por completo, opacando otros sabores. 
5: El ahumado se percibe sutil y perfectamente integrado con los demás sabores. 
Seleccionar solo una opción</t>
    </r>
  </si>
  <si>
    <r>
      <rPr>
        <b/>
        <sz val="10"/>
        <color theme="1"/>
        <rFont val="Arial"/>
        <family val="2"/>
      </rPr>
      <t>Armonía entre nariz, paladar y final.</t>
    </r>
    <r>
      <rPr>
        <sz val="10"/>
        <color theme="1"/>
        <rFont val="Arial"/>
        <family val="2"/>
      </rPr>
      <t xml:space="preserve">
1: Las notas aromáticas, el sabor en boca y el retrogusto no están en sintonía. 
5: Todas las etapas se complementan de manera fluida y balanceada. 
Seleccionar solo una opción</t>
    </r>
  </si>
  <si>
    <r>
      <rPr>
        <b/>
        <sz val="10"/>
        <color theme="1"/>
        <rFont val="Arial"/>
        <family val="2"/>
      </rPr>
      <t>Tomabilidad (enfocada en el ahumado):</t>
    </r>
    <r>
      <rPr>
        <sz val="10"/>
        <color theme="1"/>
        <rFont val="Arial"/>
        <family val="2"/>
      </rPr>
      <t xml:space="preserve"> 
1: Difícil de beber debido a un ahumado demasiado intenso o dominante. 
5: Fácil de disfrutar, con un ahumado bien equilibrado que se integra armoniosamente en el perfil del destilado. 
Seleccionar solo una opción</t>
    </r>
  </si>
  <si>
    <t>Notas de cata</t>
  </si>
  <si>
    <t>Comentarios</t>
  </si>
  <si>
    <t xml:space="preserve">Claudio Perez-Leighton </t>
  </si>
  <si>
    <t>Aficionado al whisky</t>
  </si>
  <si>
    <t>Tiene un gusto demasiado agudo</t>
  </si>
  <si>
    <t>Ignacia Garcés</t>
  </si>
  <si>
    <t>Consumidor General de Destilados</t>
  </si>
  <si>
    <t>2, 4</t>
  </si>
  <si>
    <t>El sabor que mas permanece a mi gusto es frutal</t>
  </si>
  <si>
    <t xml:space="preserve">Nicolas Weinlaub </t>
  </si>
  <si>
    <t>Carlos Reyes</t>
  </si>
  <si>
    <t xml:space="preserve">Ligeramente tropical </t>
  </si>
  <si>
    <t>Más bien joven, con nota tenue de grano y fruta en nariz y medicinal en boca; intenso en general en boca sin tener mucho equilibrio.</t>
  </si>
  <si>
    <t>Consuelo Bruno</t>
  </si>
  <si>
    <t>Thomas Haack</t>
  </si>
  <si>
    <t xml:space="preserve">Susana Cabello </t>
  </si>
  <si>
    <t xml:space="preserve">Ignacia Garcés </t>
  </si>
  <si>
    <t>Sebastián Argel</t>
  </si>
  <si>
    <t>Frutas, flores</t>
  </si>
  <si>
    <t xml:space="preserve">José Miguel Carrasco </t>
  </si>
  <si>
    <t>0, 3</t>
  </si>
  <si>
    <t>No se percibía el ahumado para nada</t>
  </si>
  <si>
    <t>Rodrigo Gutierrez</t>
  </si>
  <si>
    <t>Frutal</t>
  </si>
  <si>
    <t>Estaba bueno</t>
  </si>
  <si>
    <t xml:space="preserve">Gonzalo Duarte </t>
  </si>
  <si>
    <t>.....</t>
  </si>
  <si>
    <t>Ajsksjkw</t>
  </si>
  <si>
    <t>Andrea hinojosa</t>
  </si>
  <si>
    <t>Manzana verde</t>
  </si>
  <si>
    <t>Máximo Picallo</t>
  </si>
  <si>
    <t xml:space="preserve">Claudia Ortiz Calderón </t>
  </si>
  <si>
    <t>Tostado</t>
  </si>
  <si>
    <t>Amaderado</t>
  </si>
  <si>
    <t xml:space="preserve">Aroma mediano, amable, no inolvidable </t>
  </si>
  <si>
    <t xml:space="preserve">Eduardo Regonesi </t>
  </si>
  <si>
    <t>No percibido</t>
  </si>
  <si>
    <t>No</t>
  </si>
  <si>
    <t>Juan Pablo</t>
  </si>
  <si>
    <t>Toffee</t>
  </si>
  <si>
    <t>Madera, vainilla duave y caramelo.</t>
  </si>
  <si>
    <t xml:space="preserve">Luis Larrondo </t>
  </si>
  <si>
    <t>1, 2</t>
  </si>
  <si>
    <t>0, 1</t>
  </si>
  <si>
    <t xml:space="preserve">Glicerina </t>
  </si>
  <si>
    <t>2, 3</t>
  </si>
  <si>
    <t xml:space="preserve">Se percibe con un whiskey joven </t>
  </si>
  <si>
    <t>Fruta roja tenue, flores</t>
  </si>
  <si>
    <t>Tono frutal y ligeramente tostado y ahumado, con boca de intensidad media y con tonos frutosos rojos aparte de algo ligero de vainilla</t>
  </si>
  <si>
    <t>Caro Carriel</t>
  </si>
  <si>
    <t>Caramelo</t>
  </si>
  <si>
    <t>Notas frutales que se sienten más en boca que en nariz, me falta un reposo que permita mejor interacción entre los componentes.</t>
  </si>
  <si>
    <t>Alcohol puro...</t>
  </si>
  <si>
    <t>El olor a alcohol puro es muy fuerte</t>
  </si>
  <si>
    <t>Muestra #3 tiene demasiado sabor a alcohol puro</t>
  </si>
  <si>
    <t>3, 4</t>
  </si>
  <si>
    <t>Cedron</t>
  </si>
  <si>
    <t xml:space="preserve">Camila Aguirre </t>
  </si>
  <si>
    <t xml:space="preserve">Nada </t>
  </si>
  <si>
    <t xml:space="preserve">Tiene final corto, notas ahumadas poco pronunciadas </t>
  </si>
  <si>
    <t xml:space="preserve">Consuelo Bruno </t>
  </si>
  <si>
    <t xml:space="preserve">Rodrigo Gutiérrez </t>
  </si>
  <si>
    <t xml:space="preserve">Felipe Pizarro </t>
  </si>
  <si>
    <t>Experto/ Sommelier</t>
  </si>
  <si>
    <t xml:space="preserve">No percibo carácter frutal </t>
  </si>
  <si>
    <t xml:space="preserve">Me parece  balanceado  aunque alcohol aún joven y un poco punzante, cereales y vainilla ayudan a generar equilibrio </t>
  </si>
  <si>
    <t>Sebastián argel</t>
  </si>
  <si>
    <t xml:space="preserve">Claudio Martínez </t>
  </si>
  <si>
    <t>Beatriz solari</t>
  </si>
  <si>
    <t>Frutos secos ligeramente</t>
  </si>
  <si>
    <t xml:space="preserve">No percibo un aroma tan acorde al sabor, el alcohol se eleva mucho en boca y opaca los sabores. No perduran los sabores. </t>
  </si>
  <si>
    <t xml:space="preserve">Karla Martínez </t>
  </si>
  <si>
    <t>Herbal</t>
  </si>
  <si>
    <t xml:space="preserve">Cardamomo </t>
  </si>
  <si>
    <t>Clavo de olor, pan de pascua</t>
  </si>
  <si>
    <t>Especiado, vainilla, se percibe como blend, pero con mayor graduación alcohólica en boca.</t>
  </si>
  <si>
    <t>Miguel.rios@usach.cl</t>
  </si>
  <si>
    <t>Jp</t>
  </si>
  <si>
    <t>Vainilla fuerte</t>
  </si>
  <si>
    <t>Futos secos</t>
  </si>
  <si>
    <t>Madera y vainilma fuerte en aroma. Madera en boca y leve astringencia.</t>
  </si>
  <si>
    <t xml:space="preserve">Me gustó! </t>
  </si>
  <si>
    <t>Fuerte, notas muy altas.</t>
  </si>
  <si>
    <t>Con este whisky tenía problemas de probar . No es a mi gusto</t>
  </si>
  <si>
    <t>Demasiado extraño como sabor con no gusto de tomarlo</t>
  </si>
  <si>
    <t>Max Weinlaub</t>
  </si>
  <si>
    <t>Mate, hierbas, higos, fardo de pasto, cereal, sake</t>
  </si>
  <si>
    <t>Sake</t>
  </si>
  <si>
    <t>Higo, nuez</t>
  </si>
  <si>
    <t>Nariz timida, de intensidad de ahumado bajo. En boca hay más complejidad. El alcohol se siente algo quemante; quizá falta tiempo de crianza. Persistencia media</t>
  </si>
  <si>
    <t>Floral</t>
  </si>
  <si>
    <t>Amable y buen retrogusto</t>
  </si>
  <si>
    <t>Está bien pero no muy equilibrado</t>
  </si>
  <si>
    <t>Camila Aguirre</t>
  </si>
  <si>
    <t xml:space="preserve">Caramelo </t>
  </si>
  <si>
    <t xml:space="preserve">Notas profundas ahumadas y caramelo </t>
  </si>
  <si>
    <t xml:space="preserve">Alcohol </t>
  </si>
  <si>
    <t xml:space="preserve">Frutal, pera </t>
  </si>
  <si>
    <t>As</t>
  </si>
  <si>
    <t>n/a</t>
  </si>
  <si>
    <t>N/A</t>
  </si>
  <si>
    <t xml:space="preserve">Sebastián argel </t>
  </si>
  <si>
    <t>Fernando Mendoza</t>
  </si>
  <si>
    <t>El 1 es cero y el 2 es 1</t>
  </si>
  <si>
    <t>El 1 es cero (no percibido) y el 2 es uno</t>
  </si>
  <si>
    <t>Cereal, caramelo.</t>
  </si>
  <si>
    <t>Algo de manzana roja</t>
  </si>
  <si>
    <t>Mantecoso</t>
  </si>
  <si>
    <t>Nota inicial a cereales que luego deriva a manzana roja y otros registros frutales. Boca más bien en tono medio, con notas de cereal y algo de fruta pero no equilibrado; ligero en general  y regusto largo.</t>
  </si>
  <si>
    <t>No percibo otro</t>
  </si>
  <si>
    <t xml:space="preserve">Se percibe bastante alcohol </t>
  </si>
  <si>
    <t xml:space="preserve">Especies y picor por alcohol </t>
  </si>
  <si>
    <t xml:space="preserve">Menos impacto de madera y vainilla  más alcohol  y especias </t>
  </si>
  <si>
    <t>Felipe E. Reyes Lopez</t>
  </si>
  <si>
    <t>Notas frutales en baja intensidad; altas notas alcohólicas que preponderan por sobre el resto de las notas (poco agradable). También hay notas de aroma azucarado tostado</t>
  </si>
  <si>
    <t>Marcado, intenso y permanente olor a notas alcoholicas</t>
  </si>
  <si>
    <t>Se perciben notas de azucar caramelizado, aunque algo quemado</t>
  </si>
  <si>
    <t>Muestra en general poco agradable de beber</t>
  </si>
  <si>
    <t>Muestra difícil de beber, con notas alcohólicas y ahumadas muy preponderantes que opacan y hacen difícil otros sabores y aromas presentes.</t>
  </si>
  <si>
    <t>JP</t>
  </si>
  <si>
    <t>Madera y vainilla</t>
  </si>
  <si>
    <t xml:space="preserve">Buena tomabilidad, mas.ligero. menos caracter de ahumado. </t>
  </si>
  <si>
    <t>Claudio martinez</t>
  </si>
  <si>
    <t>Cremoso, potente, sabores balanceados</t>
  </si>
  <si>
    <t>Chabi Cadiz</t>
  </si>
  <si>
    <t>Algo levemente aromatico como la canela quemada</t>
  </si>
  <si>
    <t xml:space="preserve">Algo de miel, tipo polen o las florales, leve manzana asada </t>
  </si>
  <si>
    <t>Manzana asada, picor de la canela en punta de la lengua, algo de miel</t>
  </si>
  <si>
    <t>Súper bueno. El mejor hasta ahora</t>
  </si>
  <si>
    <t>Paula Troncoso</t>
  </si>
  <si>
    <t xml:space="preserve">No es tan fácil de tomar, se siente mucho alcohol volátil, eso dificulta la sensación de los sabores, en el fondo percibo un whisky bien ligero, no muy ahumado, con madera pero no se siente muy intensa, algo de fruta madura, platano, vainilla muy muy leve </t>
  </si>
  <si>
    <t xml:space="preserve">Rebajado con agua me parece un whisky bastante fácil de tomar, bien versátil, podría funcionar con ciertos ajustes </t>
  </si>
  <si>
    <t>Simple poco retrogusto</t>
  </si>
  <si>
    <t>Citrico</t>
  </si>
  <si>
    <t>Muy rico !!! De olor y sabor</t>
  </si>
  <si>
    <t>Madera y Zucar quemada.</t>
  </si>
  <si>
    <t>Notas altas a madera y humo.</t>
  </si>
  <si>
    <t xml:space="preserve">Turba </t>
  </si>
  <si>
    <t xml:space="preserve">Turba presente pero en menos intensidad que nariz </t>
  </si>
  <si>
    <t xml:space="preserve">Producto más profundo pero final más corto </t>
  </si>
  <si>
    <t xml:space="preserve">Petróleo </t>
  </si>
  <si>
    <t>Fruto rojo o parecido berries</t>
  </si>
  <si>
    <t>Miguel Ríos</t>
  </si>
  <si>
    <t>Notas frutales de manzana roja, de uva y tono oxidado ligero.</t>
  </si>
  <si>
    <t>Carácter más ahumado y a grano con notas frutales maduras; boca más intensa con nota y regusto amargo en el paladar medio. Final medio largo y con ahumado estilo turba.</t>
  </si>
  <si>
    <t>Bernardo Morales</t>
  </si>
  <si>
    <t>Es suave se paladea</t>
  </si>
  <si>
    <t>Fernanda Pereira</t>
  </si>
  <si>
    <t xml:space="preserve">Fruta madura </t>
  </si>
  <si>
    <t xml:space="preserve">Me aparece más carácter de frita madura , bajo cacaree a madera y/o turba alcohol menos punzante </t>
  </si>
  <si>
    <t>Maderoso</t>
  </si>
  <si>
    <t>Avellanas tostadas, caramelo, vainilla, coco tostado</t>
  </si>
  <si>
    <t>Coco, avellanas tostadas</t>
  </si>
  <si>
    <t>Caramelo, clavo de olor, canela</t>
  </si>
  <si>
    <t>Intenso en nariz y boca pero no molesta. Alcohol amable. Final dulce y complejo. Atractivo</t>
  </si>
  <si>
    <t>No percibo</t>
  </si>
  <si>
    <t>Frutos secos</t>
  </si>
  <si>
    <t>Floral miel</t>
  </si>
  <si>
    <t>Algo de complejidad. Amable en dulzor</t>
  </si>
  <si>
    <t xml:space="preserve">Chabi Cadiz </t>
  </si>
  <si>
    <t xml:space="preserve">Amielado y algo de boldo ( tostado) </t>
  </si>
  <si>
    <t xml:space="preserve">Mazapan(?) </t>
  </si>
  <si>
    <t xml:space="preserve">Fernando Mendoza </t>
  </si>
  <si>
    <t>No percibo otro pero había que marcar</t>
  </si>
  <si>
    <t>El 1 es cero y asi</t>
  </si>
  <si>
    <t>Uno es cero y asi</t>
  </si>
  <si>
    <t>Luis larrondo</t>
  </si>
  <si>
    <t>Cuero</t>
  </si>
  <si>
    <t xml:space="preserve">Musky </t>
  </si>
  <si>
    <t>Áspero, duro</t>
  </si>
  <si>
    <t xml:space="preserve">Fernanda Pereira </t>
  </si>
  <si>
    <t>En menor escala turba</t>
  </si>
  <si>
    <t xml:space="preserve">Nueces  en general </t>
  </si>
  <si>
    <t>Widerlich</t>
  </si>
  <si>
    <t>Incredibile: muy buen olor, pessimo sabor (imposible beberlo)</t>
  </si>
  <si>
    <t>Amielado, cornflakes</t>
  </si>
  <si>
    <t>Muy parecido a la muestra N1, la diferencia quizás es que el N2 tiene un poco mas de madera</t>
  </si>
  <si>
    <t xml:space="preserve">Mi percepción cambió muy poco de la muestra N1 </t>
  </si>
  <si>
    <t>Se aprecian notas frutales (piña de forma preponderante, con alguna nota de durazno) y alguna nota cítrica difícil de distinguir. Notas de grano también presentes aunque no preponderantes por sobre el resto de aromas (lo que se agradece)</t>
  </si>
  <si>
    <t>Notas de café agradable que se ensamblan con las notas frutales de forma agradable y de mejor manera en esta muestra respecto a la muestra 1</t>
  </si>
  <si>
    <t>Muestra 2 permite disintguir más sabores y aromas respecto a muestra 1. Las abrumadoras notas alcohólicas presentes en la muestra 1 están más equilibradas en la muestra 2 y su integración con el resto de las notas está mejor logrado en muestra 2</t>
  </si>
  <si>
    <t>Muestra 2 más agradable que muestra 1.</t>
  </si>
  <si>
    <t>Andrea hinojoss</t>
  </si>
  <si>
    <t>Frutoso</t>
  </si>
  <si>
    <t xml:space="preserve">Percibo más equilibrio a pesar de su juventud así también más cara yet de ahumado y madera </t>
  </si>
  <si>
    <t>Otro es cero</t>
  </si>
  <si>
    <t>Uno es cero</t>
  </si>
  <si>
    <t xml:space="preserve">Miguel Ríos </t>
  </si>
  <si>
    <t xml:space="preserve">Cuesta un poco beberlo </t>
  </si>
  <si>
    <t>Nuez</t>
  </si>
  <si>
    <t>Lev ahumado, algo alcanforado</t>
  </si>
  <si>
    <t xml:space="preserve">Algo alcanforado, quemado, verdoso, con notas dulces, amieladas. </t>
  </si>
  <si>
    <t>Tiene olor a nestum, avena, cereal caliente</t>
  </si>
  <si>
    <t>1, 4</t>
  </si>
  <si>
    <t xml:space="preserve">Carlos Reyes </t>
  </si>
  <si>
    <t>Manzana asada, miel, vainilla, mantequilla</t>
  </si>
  <si>
    <t>Miel, mantequilla, galleta</t>
  </si>
  <si>
    <t>Manzana asada, torrefacción</t>
  </si>
  <si>
    <t>Simple en nariz y boca. Dificil asociarlo a Whisky. Perfil particular</t>
  </si>
  <si>
    <t>Otro no percibido</t>
  </si>
  <si>
    <t xml:space="preserve">Pimienta </t>
  </si>
  <si>
    <t>Beatriz Solari</t>
  </si>
  <si>
    <t xml:space="preserve">Sulfuroso </t>
  </si>
  <si>
    <t xml:space="preserve">My y bueno! </t>
  </si>
  <si>
    <t>Sulfuroso</t>
  </si>
  <si>
    <t>Sulfuroso algo pungente</t>
  </si>
  <si>
    <t>Se percibe aroma y sabor a levadura</t>
  </si>
  <si>
    <t>Nuez, muy leve noto algo láctico, mas cítrico</t>
  </si>
  <si>
    <t xml:space="preserve">Esta vez percibí mucho mejor la madera, en nariz y boca, se nota un poco mas la complejidad, pero sigue siendo bastante soso, ligero, mucho alcohol volátil </t>
  </si>
  <si>
    <t xml:space="preserve">Cáscara de platano </t>
  </si>
  <si>
    <t xml:space="preserve">Sabor a mantequilla o queso </t>
  </si>
  <si>
    <t xml:space="preserve">No percibo </t>
  </si>
  <si>
    <t xml:space="preserve">Quimico </t>
  </si>
  <si>
    <t xml:space="preserve">Sabor fuerte y quimco del ahumado. Pocao tomabilidad </t>
  </si>
  <si>
    <t>1, 3</t>
  </si>
  <si>
    <t xml:space="preserve">Notas frutales y florales abundantes. </t>
  </si>
  <si>
    <t>Llama la atención el bajo primer tono aromático del acohol. Sin embargo, el retrogusto deja una sensación alcohólica aromática abundante. También se perciben notas de frutos rojos (fresa)</t>
  </si>
  <si>
    <t>Hay un tono final en el retrogusto que no es agradable puesto que inunda y propondera por sobre cualquier otra nota</t>
  </si>
  <si>
    <t>La muestra 3 muestra botas aromáticas que son más agradables y equilibradas que muestra 2 y muestra 1. No obstante, hay un tono (que no distingo) que abruma el retrogusto final, dejando una sensación disímil respecto del aroma y sensación de equilibrio percibido en la primera impresión</t>
  </si>
  <si>
    <t>Pungente</t>
  </si>
  <si>
    <t xml:space="preserve">Merkén </t>
  </si>
  <si>
    <t xml:space="preserve">Sulfatado, alquitrán </t>
  </si>
  <si>
    <t xml:space="preserve">Duerme los labios </t>
  </si>
  <si>
    <t>Luis Larrondo</t>
  </si>
  <si>
    <t xml:space="preserve">Presencia cítrica en nariz </t>
  </si>
  <si>
    <t>Resina, coco</t>
  </si>
  <si>
    <t>Coco, resina</t>
  </si>
  <si>
    <t>Simple pero correcto. Estilo pitty</t>
  </si>
  <si>
    <t xml:space="preserve">Otro no percibido </t>
  </si>
  <si>
    <t>Cero es uno y asi</t>
  </si>
  <si>
    <t>Siento un poco mas de fruta madura, plátano y quizás caramelo</t>
  </si>
  <si>
    <t>Fruta madura</t>
  </si>
  <si>
    <t>Tiene un toque picoso, me parece bastante fruta madura, mucho mas madera</t>
  </si>
  <si>
    <t>Bueno, pero creo que los mejores para mi fueron el 1 y el 5</t>
  </si>
  <si>
    <t>Algo mantecoso</t>
  </si>
  <si>
    <t xml:space="preserve">Un leve floral </t>
  </si>
  <si>
    <t>Témpera</t>
  </si>
  <si>
    <t>Tabaco, cuero</t>
  </si>
  <si>
    <t xml:space="preserve">Tono cárnico </t>
  </si>
  <si>
    <t>Aromas de témpera, tabaco, toques de turba, cuero, que hacen juego con una boca de intenso tueste y ahumado que ofrece sabores de tabaco y turba; largo en el paladar medio, no así en el fondo; desequilibrio, falda madurez</t>
  </si>
  <si>
    <t xml:space="preserve">Me parece que es el más ahumado con a cárter terroso y medicinal, pet INO cereal y leve vainilla si que pierdo carácter frutal </t>
  </si>
  <si>
    <t xml:space="preserve">Plástico </t>
  </si>
  <si>
    <t xml:space="preserve">Sabor un poco desagradable </t>
  </si>
  <si>
    <t>Molassa</t>
  </si>
  <si>
    <t>Felipe E. Reyes López</t>
  </si>
  <si>
    <t>Notas frutales (piña, manzana verde)</t>
  </si>
  <si>
    <t>Se perciben notas de cebada más pronunciadas</t>
  </si>
  <si>
    <t>Muestra 4 se siente más equilibrado que las muestras 1, muestra 2, o muestra 3</t>
  </si>
  <si>
    <t xml:space="preserve">Interesante aroma y equilibrio. </t>
  </si>
  <si>
    <t>Alta sensacion aromatica alcoholica</t>
  </si>
  <si>
    <t>Eduardo</t>
  </si>
  <si>
    <t xml:space="preserve">Hierbas </t>
  </si>
  <si>
    <t>Humo de madera húmeda</t>
  </si>
  <si>
    <t xml:space="preserve">Herbáceo, poco asentado </t>
  </si>
  <si>
    <t xml:space="preserve">Al principio muy volatil, aroma a anestesia (?), despues cambia a algo mas terroso, ahumado, tostado </t>
  </si>
  <si>
    <t xml:space="preserve">Garbanzo tostado, algo petrolero pero </t>
  </si>
  <si>
    <t>Se mueve mucho, hay algo verdoso tostado como la ruda quemada</t>
  </si>
  <si>
    <t xml:space="preserve">Mantecoso </t>
  </si>
  <si>
    <t>4, 5</t>
  </si>
  <si>
    <t xml:space="preserve">Químico </t>
  </si>
  <si>
    <t xml:space="preserve">Mucha pimienta </t>
  </si>
  <si>
    <t>Acido</t>
  </si>
  <si>
    <t>Muy acido</t>
  </si>
  <si>
    <t>Iodo, algas, mar</t>
  </si>
  <si>
    <t>Marino, algas, iodo</t>
  </si>
  <si>
    <t>Turba</t>
  </si>
  <si>
    <t>Whiskey pitty tipo Islay. Turboso y marino. Especial</t>
  </si>
  <si>
    <t>Gusto químico desagradable</t>
  </si>
  <si>
    <t>Gusto químico desagradable, difícil de digerir</t>
  </si>
  <si>
    <t>Gusto químico desagradable; difícil de beber y asimilar</t>
  </si>
  <si>
    <t>Muestra 7 es dífícil de beber y asimilar. Muy desagradable</t>
  </si>
  <si>
    <t>Muestra 7 es la peor muestra de todas</t>
  </si>
  <si>
    <t>Mucho humo, mucha tierra</t>
  </si>
  <si>
    <t>Ahumado</t>
  </si>
  <si>
    <t>Café</t>
  </si>
  <si>
    <t>Otro</t>
  </si>
  <si>
    <t>Vainilla</t>
  </si>
  <si>
    <t xml:space="preserve">Cereal </t>
  </si>
  <si>
    <t xml:space="preserve"> Medicinal</t>
  </si>
  <si>
    <t xml:space="preserve"> Terroso</t>
  </si>
  <si>
    <t xml:space="preserve">Intensidad de ahumado
</t>
  </si>
  <si>
    <t>Promedio</t>
  </si>
  <si>
    <t>Intensidad Ahumado</t>
  </si>
  <si>
    <t>Duración</t>
  </si>
  <si>
    <t>Complejidad</t>
  </si>
  <si>
    <t>Sensación en boca</t>
  </si>
  <si>
    <t>Integración del ahumado con otros sabores</t>
  </si>
  <si>
    <t>Armonía entre nariz, paladar y final.</t>
  </si>
  <si>
    <t>Tomabilidad (enfocada en el ahumado)</t>
  </si>
  <si>
    <t>C-70</t>
  </si>
  <si>
    <t>B1</t>
  </si>
  <si>
    <t>H76</t>
  </si>
  <si>
    <t>Levadura</t>
  </si>
  <si>
    <t>Prototipo</t>
  </si>
  <si>
    <t>Dalwhinnie Winter's Gold (10 años)</t>
  </si>
  <si>
    <t>tipo_panel</t>
  </si>
  <si>
    <t>id_panel</t>
  </si>
  <si>
    <t>ENE25_M1</t>
  </si>
  <si>
    <t>formulario</t>
  </si>
  <si>
    <t>ENE25_M2</t>
  </si>
  <si>
    <t>ENE25_M3</t>
  </si>
  <si>
    <t>ENE25_M4</t>
  </si>
  <si>
    <t>ENE25_M7</t>
  </si>
  <si>
    <r>
      <rPr>
        <b/>
        <sz val="10"/>
        <color theme="1"/>
        <rFont val="Arial"/>
        <family val="2"/>
      </rPr>
      <t>AROMA, Intensidad 
Seleccionar solo una opción [Ahumado]</t>
    </r>
  </si>
  <si>
    <r>
      <rPr>
        <b/>
        <sz val="10"/>
        <color theme="1"/>
        <rFont val="Arial"/>
        <family val="2"/>
      </rPr>
      <t>AROMA, Carácter Humo
Seleccionar solo una opción por cada fila [Medicinal]</t>
    </r>
  </si>
  <si>
    <r>
      <rPr>
        <b/>
        <sz val="10"/>
        <color theme="1"/>
        <rFont val="Arial"/>
        <family val="2"/>
      </rPr>
      <t>AROMA, Carácter Humo
Seleccionar solo una opción por cada fila [Terroso]</t>
    </r>
  </si>
  <si>
    <r>
      <rPr>
        <b/>
        <sz val="10"/>
        <color theme="1"/>
        <rFont val="Arial"/>
        <family val="2"/>
      </rPr>
      <t>AROMA, Carácter Humo
Seleccionar solo una opción por cada fila [Amaderado]</t>
    </r>
  </si>
  <si>
    <r>
      <rPr>
        <b/>
        <sz val="10"/>
        <color theme="1"/>
        <rFont val="Arial"/>
        <family val="2"/>
      </rPr>
      <t>AROMA, Carácter Humo
Seleccionar solo una opción por cada fila [Café]</t>
    </r>
  </si>
  <si>
    <r>
      <rPr>
        <b/>
        <sz val="10"/>
        <color theme="1"/>
        <rFont val="Arial"/>
        <family val="2"/>
      </rPr>
      <t>AROMA, Carácter Humo
Seleccionar solo una opción por cada fila [Otro]</t>
    </r>
  </si>
  <si>
    <r>
      <t xml:space="preserve">Si marcó </t>
    </r>
    <r>
      <rPr>
        <b/>
        <sz val="10"/>
        <color theme="1"/>
        <rFont val="Arial"/>
        <family val="2"/>
      </rPr>
      <t>otro,  especifique el descriptor que percibió</t>
    </r>
  </si>
  <si>
    <r>
      <rPr>
        <b/>
        <sz val="10"/>
        <color theme="1"/>
        <rFont val="Arial"/>
        <family val="2"/>
      </rPr>
      <t>AROMA, Notas adicionales 
Seleccionar solo una opción por cada fila [Frutal]</t>
    </r>
  </si>
  <si>
    <r>
      <rPr>
        <b/>
        <sz val="10"/>
        <color theme="1"/>
        <rFont val="Arial"/>
        <family val="2"/>
      </rPr>
      <t>AROMA, Notas adicionales 
Seleccionar solo una opción por cada fila [Vainilla]</t>
    </r>
  </si>
  <si>
    <r>
      <rPr>
        <b/>
        <sz val="10"/>
        <color theme="1"/>
        <rFont val="Arial"/>
        <family val="2"/>
      </rPr>
      <t>AROMA, Notas adicionales 
Seleccionar solo una opción por cada fila [Cereal ]</t>
    </r>
  </si>
  <si>
    <r>
      <t xml:space="preserve">Si percibió </t>
    </r>
    <r>
      <rPr>
        <b/>
        <sz val="10"/>
        <color theme="1"/>
        <rFont val="Arial"/>
        <family val="2"/>
      </rPr>
      <t>otras notas aromáticas en el destilado, especifique</t>
    </r>
  </si>
  <si>
    <r>
      <rPr>
        <b/>
        <sz val="10"/>
        <color theme="1"/>
        <rFont val="Arial"/>
        <family val="2"/>
      </rPr>
      <t xml:space="preserve">SABOR: Intensidad de ahumado
Seleccionar solo una opción </t>
    </r>
  </si>
  <si>
    <r>
      <rPr>
        <b/>
        <sz val="10"/>
        <color theme="1"/>
        <rFont val="Arial"/>
        <family val="2"/>
      </rPr>
      <t>SABOR: Carácter Humo
Seleccionar solo una opción por cada fila [Medicinal]</t>
    </r>
  </si>
  <si>
    <r>
      <rPr>
        <b/>
        <sz val="10"/>
        <color theme="1"/>
        <rFont val="Arial"/>
        <family val="2"/>
      </rPr>
      <t>SABOR: Carácter Humo
Seleccionar solo una opción por cada fila [Terroso]</t>
    </r>
  </si>
  <si>
    <r>
      <rPr>
        <b/>
        <sz val="10"/>
        <color theme="1"/>
        <rFont val="Arial"/>
        <family val="2"/>
      </rPr>
      <t>SABOR: Carácter Humo
Seleccionar solo una opción por cada fila [Amaderado]</t>
    </r>
  </si>
  <si>
    <r>
      <rPr>
        <b/>
        <sz val="10"/>
        <color theme="1"/>
        <rFont val="Arial"/>
        <family val="2"/>
      </rPr>
      <t>SABOR: Carácter Humo
Seleccionar solo una opción por cada fila [Café]</t>
    </r>
  </si>
  <si>
    <r>
      <rPr>
        <b/>
        <sz val="10"/>
        <color theme="1"/>
        <rFont val="Arial"/>
        <family val="2"/>
      </rPr>
      <t>SABOR, Notas adicionales 
Seleccionar solo una opción por cada fila [Frutal]</t>
    </r>
  </si>
  <si>
    <r>
      <rPr>
        <b/>
        <sz val="10"/>
        <color theme="1"/>
        <rFont val="Arial"/>
        <family val="2"/>
      </rPr>
      <t>SABOR, Notas adicionales 
Seleccionar solo una opción por cada fila [Vainilla]</t>
    </r>
  </si>
  <si>
    <r>
      <rPr>
        <b/>
        <sz val="10"/>
        <color theme="1"/>
        <rFont val="Arial"/>
        <family val="2"/>
      </rPr>
      <t>SABOR, Notas adicionales 
Seleccionar solo una opción por cada fila [Cereal ]</t>
    </r>
  </si>
  <si>
    <r>
      <t xml:space="preserve">Si percibió </t>
    </r>
    <r>
      <rPr>
        <b/>
        <sz val="10"/>
        <color theme="1"/>
        <rFont val="Arial"/>
        <family val="2"/>
      </rPr>
      <t>otras notas de sabores en el destilado, especifique</t>
    </r>
  </si>
  <si>
    <r>
      <rPr>
        <b/>
        <sz val="10"/>
        <color theme="1"/>
        <rFont val="Arial"/>
        <family val="2"/>
      </rPr>
      <t>REGUSTO-FINAL
Seleccionar solo una opción por cada fila [Duración]</t>
    </r>
  </si>
  <si>
    <r>
      <rPr>
        <b/>
        <sz val="10"/>
        <color theme="1"/>
        <rFont val="Arial"/>
        <family val="2"/>
      </rPr>
      <t>REGUSTO-FINAL
Seleccionar solo una opción por cada fila [Ahumado]</t>
    </r>
  </si>
  <si>
    <r>
      <rPr>
        <b/>
        <sz val="10"/>
        <color theme="1"/>
        <rFont val="Arial"/>
        <family val="2"/>
      </rPr>
      <t>REGUSTO-FINAL
Seleccionar solo una opción por cada fila [Complejidad]</t>
    </r>
  </si>
  <si>
    <r>
      <rPr>
        <b/>
        <sz val="10"/>
        <color theme="1"/>
        <rFont val="Arial"/>
        <family val="2"/>
      </rPr>
      <t>Integración del ahumado con otros sabores
1: El ahumado domina por completo, opacando otros sabores. 
5: El ahumado se percibe sutil y perfectamente integrado con los demás sabores. 
Seleccionar solo una opción</t>
    </r>
  </si>
  <si>
    <r>
      <rPr>
        <b/>
        <sz val="10"/>
        <color theme="1"/>
        <rFont val="Arial"/>
        <family val="2"/>
      </rPr>
      <t>Armonía entre nariz, paladar y final.
1: Las notas aromáticas, el sabor en boca y el retrogusto no están en sintonía. 
5: Todas las etapas se complementan de manera fluida y balanceada. 
Seleccionar solo una opción</t>
    </r>
  </si>
  <si>
    <r>
      <rPr>
        <b/>
        <sz val="10"/>
        <color theme="1"/>
        <rFont val="Arial"/>
        <family val="2"/>
      </rPr>
      <t>Tomabilidad (enfocada en el ahumado): 
1: Difícil de beber debido a un ahumado demasiado intenso o dominante. 
5: Fácil de disfrutar, con un ahumado bien equilibrado que se integra armoniosamente en el perfil del destilado. 
Seleccionar solo una opción</t>
    </r>
  </si>
  <si>
    <t>nombre_catador</t>
  </si>
  <si>
    <t>categoria_catador</t>
  </si>
  <si>
    <t>num_muestra</t>
  </si>
  <si>
    <t>aroma_ahumado</t>
  </si>
  <si>
    <t>aroma_medicinal</t>
  </si>
  <si>
    <t>aroma_terroso</t>
  </si>
  <si>
    <t>aroma_amaderado</t>
  </si>
  <si>
    <t>aroma_cafe</t>
  </si>
  <si>
    <t>aroma_otro</t>
  </si>
  <si>
    <t>aroma_otro_texto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</si>
</sst>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8" x14ac:knownFonts="1">
    <font>
      <sz val="10"/>
      <color rgb="FF000000"/>
      <name val="Arial"/>
      <scheme val="minor"/>
    </font>
    <font>
      <sz val="10"/>
      <color theme="1"/>
      <name val="Arial"/>
      <family val="2"/>
      <scheme val="minor"/>
    </font>
    <font>
      <b/>
      <sz val="10"/>
      <color theme="1"/>
      <name val="Arial"/>
      <family val="2"/>
      <scheme val="minor"/>
    </font>
    <font>
      <b/>
      <sz val="10"/>
      <color theme="1"/>
      <name val="Arial"/>
      <family val="2"/>
    </font>
    <font>
      <sz val="10"/>
      <color theme="1"/>
      <name val="Arial"/>
      <family val="2"/>
    </font>
    <font>
      <sz val="10"/>
      <color rgb="FF000000"/>
      <name val="Arial"/>
      <family val="2"/>
      <scheme val="minor"/>
    </font>
    <font>
      <b/>
      <sz val="10"/>
      <color rgb="FF000000"/>
      <name val="Arial"/>
      <family val="2"/>
      <scheme val="minor"/>
    </font>
    <font>
      <sz val="8"/>
      <name val="Arial"/>
      <scheme val="minor"/>
    </font>
  </fonts>
  <fills count="10">
    <fill>
      <patternFill patternType="none"/>
    </fill>
    <fill>
      <patternFill patternType="gray125"/>
    </fill>
    <fill>
      <patternFill patternType="solid">
        <fgColor rgb="FF5B3F86"/>
        <bgColor rgb="FF5B3F86"/>
      </patternFill>
    </fill>
    <fill>
      <patternFill patternType="solid">
        <fgColor rgb="FFFFFFFF"/>
        <bgColor rgb="FFFFFFFF"/>
      </patternFill>
    </fill>
    <fill>
      <patternFill patternType="solid">
        <fgColor rgb="FFF8F9FA"/>
        <bgColor rgb="FFF8F9FA"/>
      </patternFill>
    </fill>
    <fill>
      <patternFill patternType="solid">
        <fgColor theme="2" tint="-0.14999847407452621"/>
        <bgColor rgb="FFF8F9FA"/>
      </patternFill>
    </fill>
    <fill>
      <patternFill patternType="solid">
        <fgColor theme="2" tint="-0.14999847407452621"/>
        <bgColor indexed="64"/>
      </patternFill>
    </fill>
    <fill>
      <patternFill patternType="solid">
        <fgColor theme="2" tint="-0.14999847407452621"/>
        <bgColor rgb="FFFFFFFF"/>
      </patternFill>
    </fill>
    <fill>
      <patternFill patternType="solid">
        <fgColor rgb="FFFFFF00"/>
        <bgColor indexed="64"/>
      </patternFill>
    </fill>
    <fill>
      <patternFill patternType="solid">
        <fgColor theme="4" tint="0.79998168889431442"/>
        <bgColor indexed="64"/>
      </patternFill>
    </fill>
  </fills>
  <borders count="13">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FFFFF"/>
      </right>
      <top style="thin">
        <color rgb="FFFFFFFF"/>
      </top>
      <bottom style="thin">
        <color rgb="FF442F65"/>
      </bottom>
      <diagonal/>
    </border>
    <border>
      <left style="thin">
        <color rgb="FFFFFFFF"/>
      </left>
      <right style="thin">
        <color rgb="FFFFFFFF"/>
      </right>
      <top style="thin">
        <color rgb="FFFFFFFF"/>
      </top>
      <bottom style="thin">
        <color rgb="FF442F65"/>
      </bottom>
      <diagonal/>
    </border>
    <border>
      <left style="thin">
        <color rgb="FFFFFFFF"/>
      </left>
      <right style="thin">
        <color rgb="FF442F65"/>
      </right>
      <top style="thin">
        <color rgb="FFFFFFFF"/>
      </top>
      <bottom style="thin">
        <color rgb="FF442F65"/>
      </bottom>
      <diagonal/>
    </border>
  </borders>
  <cellStyleXfs count="1">
    <xf numFmtId="0" fontId="0" fillId="0" borderId="0"/>
  </cellStyleXfs>
  <cellXfs count="45">
    <xf numFmtId="0" fontId="0" fillId="0" borderId="0" xfId="0"/>
    <xf numFmtId="164" fontId="1" fillId="0" borderId="4" xfId="0" applyNumberFormat="1"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164" fontId="1" fillId="0" borderId="7" xfId="0" applyNumberFormat="1"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164" fontId="1" fillId="0" borderId="10" xfId="0" applyNumberFormat="1" applyFont="1" applyBorder="1" applyAlignment="1">
      <alignment vertical="center"/>
    </xf>
    <xf numFmtId="0" fontId="1" fillId="0" borderId="11" xfId="0" applyFont="1" applyBorder="1" applyAlignment="1">
      <alignment vertical="center"/>
    </xf>
    <xf numFmtId="0" fontId="1" fillId="0" borderId="12" xfId="0" applyFont="1" applyBorder="1" applyAlignment="1">
      <alignment vertical="center"/>
    </xf>
    <xf numFmtId="0" fontId="1" fillId="2" borderId="2" xfId="0" applyFont="1" applyFill="1" applyBorder="1" applyAlignment="1">
      <alignment horizontal="left" vertical="center"/>
    </xf>
    <xf numFmtId="0" fontId="2" fillId="2" borderId="2" xfId="0" applyFont="1" applyFill="1" applyBorder="1" applyAlignment="1">
      <alignment horizontal="left" vertical="center"/>
    </xf>
    <xf numFmtId="0" fontId="2" fillId="2" borderId="3" xfId="0" applyFont="1" applyFill="1" applyBorder="1" applyAlignment="1">
      <alignment horizontal="left" vertical="center"/>
    </xf>
    <xf numFmtId="0" fontId="1" fillId="3" borderId="5" xfId="0" applyFont="1" applyFill="1" applyBorder="1" applyAlignment="1">
      <alignment vertical="center"/>
    </xf>
    <xf numFmtId="0" fontId="1" fillId="3" borderId="6" xfId="0" applyFont="1" applyFill="1" applyBorder="1" applyAlignment="1">
      <alignment vertical="center"/>
    </xf>
    <xf numFmtId="0" fontId="1" fillId="4" borderId="8" xfId="0" applyFont="1" applyFill="1" applyBorder="1" applyAlignment="1">
      <alignment vertical="center"/>
    </xf>
    <xf numFmtId="0" fontId="1" fillId="4" borderId="9" xfId="0" applyFont="1" applyFill="1" applyBorder="1" applyAlignment="1">
      <alignment vertical="center"/>
    </xf>
    <xf numFmtId="0" fontId="1" fillId="4" borderId="5" xfId="0" applyFont="1" applyFill="1" applyBorder="1" applyAlignment="1">
      <alignment vertical="center"/>
    </xf>
    <xf numFmtId="0" fontId="1" fillId="4" borderId="6" xfId="0" applyFont="1" applyFill="1" applyBorder="1" applyAlignment="1">
      <alignment vertical="center"/>
    </xf>
    <xf numFmtId="0" fontId="1" fillId="3" borderId="8" xfId="0" applyFont="1" applyFill="1" applyBorder="1" applyAlignment="1">
      <alignment vertical="center"/>
    </xf>
    <xf numFmtId="0" fontId="1" fillId="3" borderId="9" xfId="0" applyFont="1" applyFill="1" applyBorder="1" applyAlignment="1">
      <alignment vertical="center"/>
    </xf>
    <xf numFmtId="0" fontId="4" fillId="2" borderId="2" xfId="0" applyFont="1" applyFill="1" applyBorder="1" applyAlignment="1">
      <alignment horizontal="left" vertical="center" wrapText="1"/>
    </xf>
    <xf numFmtId="0" fontId="4" fillId="2" borderId="2" xfId="0" applyFont="1" applyFill="1" applyBorder="1" applyAlignment="1">
      <alignment horizontal="left" vertical="center"/>
    </xf>
    <xf numFmtId="2" fontId="0" fillId="0" borderId="0" xfId="0" applyNumberFormat="1"/>
    <xf numFmtId="0" fontId="2" fillId="3" borderId="8" xfId="0" applyFont="1" applyFill="1" applyBorder="1" applyAlignment="1">
      <alignment vertical="center"/>
    </xf>
    <xf numFmtId="0" fontId="2" fillId="3" borderId="5" xfId="0" applyFont="1" applyFill="1" applyBorder="1" applyAlignment="1">
      <alignment vertical="center"/>
    </xf>
    <xf numFmtId="0" fontId="2" fillId="4" borderId="8" xfId="0" applyFont="1" applyFill="1" applyBorder="1" applyAlignment="1">
      <alignment vertical="center"/>
    </xf>
    <xf numFmtId="0" fontId="6" fillId="0" borderId="0" xfId="0" applyFont="1"/>
    <xf numFmtId="0" fontId="2" fillId="5" borderId="0" xfId="0" applyFont="1" applyFill="1" applyAlignment="1">
      <alignment vertical="center"/>
    </xf>
    <xf numFmtId="0" fontId="6" fillId="6" borderId="0" xfId="0" applyFont="1" applyFill="1"/>
    <xf numFmtId="2" fontId="6" fillId="6" borderId="0" xfId="0" applyNumberFormat="1" applyFont="1" applyFill="1"/>
    <xf numFmtId="0" fontId="2" fillId="7" borderId="0" xfId="0" applyFont="1" applyFill="1" applyAlignment="1">
      <alignment vertical="center"/>
    </xf>
    <xf numFmtId="0" fontId="3" fillId="2" borderId="2" xfId="0" applyFont="1" applyFill="1" applyBorder="1" applyAlignment="1">
      <alignment horizontal="left" vertical="center"/>
    </xf>
    <xf numFmtId="0" fontId="1" fillId="4" borderId="11" xfId="0" applyFont="1" applyFill="1" applyBorder="1" applyAlignment="1">
      <alignment vertical="center"/>
    </xf>
    <xf numFmtId="0" fontId="1" fillId="4" borderId="12" xfId="0" applyFont="1" applyFill="1" applyBorder="1" applyAlignment="1">
      <alignment vertical="center"/>
    </xf>
    <xf numFmtId="0" fontId="5" fillId="0" borderId="0" xfId="0" applyFont="1"/>
    <xf numFmtId="2" fontId="5" fillId="0" borderId="0" xfId="0" applyNumberFormat="1" applyFont="1"/>
    <xf numFmtId="164" fontId="1" fillId="0" borderId="0" xfId="0" applyNumberFormat="1" applyFont="1" applyBorder="1" applyAlignment="1">
      <alignment vertical="center"/>
    </xf>
    <xf numFmtId="0" fontId="1" fillId="8" borderId="5" xfId="0" applyFont="1" applyFill="1" applyBorder="1" applyAlignment="1">
      <alignment vertical="center"/>
    </xf>
    <xf numFmtId="0" fontId="1" fillId="8" borderId="8" xfId="0" applyFont="1" applyFill="1" applyBorder="1" applyAlignment="1">
      <alignment vertical="center"/>
    </xf>
    <xf numFmtId="0" fontId="1" fillId="8" borderId="11" xfId="0" applyFont="1" applyFill="1" applyBorder="1" applyAlignment="1">
      <alignment vertical="center"/>
    </xf>
    <xf numFmtId="0" fontId="2" fillId="9" borderId="2" xfId="0" applyFont="1" applyFill="1" applyBorder="1" applyAlignment="1">
      <alignment horizontal="left" vertical="center"/>
    </xf>
    <xf numFmtId="0" fontId="2" fillId="9" borderId="3" xfId="0" applyFont="1" applyFill="1" applyBorder="1" applyAlignment="1">
      <alignment horizontal="left" vertical="center"/>
    </xf>
    <xf numFmtId="0" fontId="2" fillId="9" borderId="0" xfId="0" applyFont="1" applyFill="1" applyBorder="1" applyAlignment="1">
      <alignment horizontal="left" vertical="center"/>
    </xf>
    <xf numFmtId="0" fontId="2" fillId="9" borderId="1" xfId="0" applyFont="1" applyFill="1" applyBorder="1" applyAlignment="1">
      <alignment horizontal="left" vertical="center"/>
    </xf>
  </cellXfs>
  <cellStyles count="1">
    <cellStyle name="Normal" xfId="0" builtinId="0"/>
  </cellStyles>
  <dxfs count="6">
    <dxf>
      <font>
        <b/>
        <family val="2"/>
      </font>
      <fill>
        <patternFill patternType="solid">
          <fgColor indexed="64"/>
          <bgColor theme="4" tint="0.79998168889431442"/>
        </patternFill>
      </fill>
    </dxf>
    <dxf>
      <font>
        <b val="0"/>
        <i val="0"/>
        <strike val="0"/>
        <condense val="0"/>
        <extend val="0"/>
        <outline val="0"/>
        <shadow val="0"/>
        <u val="none"/>
        <vertAlign val="baseline"/>
        <sz val="10"/>
        <color theme="1"/>
        <name val="Arial"/>
        <family val="2"/>
        <scheme val="minor"/>
      </font>
      <numFmt numFmtId="164" formatCode="m/d/yyyy\ h:mm:ss"/>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164" formatCode="m/d/yyyy\ h:mm:ss"/>
      <alignment horizontal="general" vertical="center" textRotation="0" wrapText="0"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espuestas de formulario 1-style" pivot="0" count="3" xr9:uid="{00000000-0011-0000-FFFF-FFFF00000000}">
      <tableStyleElement type="headerRow" dxfId="5"/>
      <tableStyleElement type="firstRowStripe" dxfId="4"/>
      <tableStyleElement type="secondRowStripe"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s-CL"/>
              <a:t>Aroma C-70</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CL"/>
        </a:p>
      </c:txPr>
    </c:title>
    <c:autoTitleDeleted val="0"/>
    <c:plotArea>
      <c:layout>
        <c:manualLayout>
          <c:layoutTarget val="inner"/>
          <c:xMode val="edge"/>
          <c:yMode val="edge"/>
          <c:x val="0.13066076115485564"/>
          <c:y val="0.19809346748323126"/>
          <c:w val="0.44360214348206473"/>
          <c:h val="0.73933690580344125"/>
        </c:manualLayout>
      </c:layout>
      <c:radarChart>
        <c:radarStyle val="marker"/>
        <c:varyColors val="0"/>
        <c:ser>
          <c:idx val="0"/>
          <c:order val="0"/>
          <c:tx>
            <c:v>Promedio</c:v>
          </c:tx>
          <c:spPr>
            <a:ln w="44450" cap="rnd">
              <a:solidFill>
                <a:srgbClr val="FF0000"/>
              </a:solidFill>
              <a:prstDash val="sysDash"/>
              <a:round/>
            </a:ln>
            <a:effectLst>
              <a:outerShdw blurRad="57150" dist="19050" dir="5400000" algn="ctr" rotWithShape="0">
                <a:srgbClr val="000000">
                  <a:alpha val="63000"/>
                </a:srgbClr>
              </a:outerShdw>
            </a:effectLst>
          </c:spPr>
          <c:marker>
            <c:symbol val="none"/>
          </c:marker>
          <c:cat>
            <c:strRef>
              <c:f>('Muestra 1'!$D$1:$I$1,'Muestra 1'!$L$1:$M$1,'Muestra 1'!$K$1,'Muestra 1'!$D$1:$I$1,'Muestra 1'!$K$1:$M$1)</c:f>
              <c:strCache>
                <c:ptCount val="18"/>
                <c:pt idx="0">
                  <c:v>aroma_ahumado</c:v>
                </c:pt>
                <c:pt idx="1">
                  <c:v>aroma_medicinal</c:v>
                </c:pt>
                <c:pt idx="2">
                  <c:v>aroma_terroso</c:v>
                </c:pt>
                <c:pt idx="3">
                  <c:v>aroma_amaderado</c:v>
                </c:pt>
                <c:pt idx="4">
                  <c:v>aroma_cafe</c:v>
                </c:pt>
                <c:pt idx="5">
                  <c:v>aroma_otro</c:v>
                </c:pt>
                <c:pt idx="6">
                  <c:v>Vainilla</c:v>
                </c:pt>
                <c:pt idx="7">
                  <c:v>Cereal </c:v>
                </c:pt>
                <c:pt idx="8">
                  <c:v>Frutal</c:v>
                </c:pt>
                <c:pt idx="9">
                  <c:v>aroma_ahumado</c:v>
                </c:pt>
                <c:pt idx="10">
                  <c:v>aroma_medicinal</c:v>
                </c:pt>
                <c:pt idx="11">
                  <c:v>aroma_terroso</c:v>
                </c:pt>
                <c:pt idx="12">
                  <c:v>aroma_amaderado</c:v>
                </c:pt>
                <c:pt idx="13">
                  <c:v>aroma_cafe</c:v>
                </c:pt>
                <c:pt idx="14">
                  <c:v>aroma_otro</c:v>
                </c:pt>
                <c:pt idx="15">
                  <c:v>Frutal</c:v>
                </c:pt>
                <c:pt idx="16">
                  <c:v>Vainilla</c:v>
                </c:pt>
                <c:pt idx="17">
                  <c:v>Cereal </c:v>
                </c:pt>
              </c:strCache>
            </c:strRef>
          </c:cat>
          <c:val>
            <c:numRef>
              <c:f>('Muestra 1'!$D$33:$I$33,'Muestra 1'!$K$33:$M$33)</c:f>
              <c:numCache>
                <c:formatCode>0.00</c:formatCode>
                <c:ptCount val="9"/>
                <c:pt idx="0">
                  <c:v>2.225806451612903</c:v>
                </c:pt>
                <c:pt idx="1">
                  <c:v>1.1935483870967742</c:v>
                </c:pt>
                <c:pt idx="2">
                  <c:v>1.064516129032258</c:v>
                </c:pt>
                <c:pt idx="3">
                  <c:v>1.6451612903225807</c:v>
                </c:pt>
                <c:pt idx="4">
                  <c:v>0.90322580645161288</c:v>
                </c:pt>
                <c:pt idx="5">
                  <c:v>0.64516129032258063</c:v>
                </c:pt>
                <c:pt idx="6">
                  <c:v>2.225806451612903</c:v>
                </c:pt>
                <c:pt idx="7">
                  <c:v>1.8387096774193548</c:v>
                </c:pt>
                <c:pt idx="8">
                  <c:v>2.096774193548387</c:v>
                </c:pt>
              </c:numCache>
            </c:numRef>
          </c:val>
          <c:extLst>
            <c:ext xmlns:c16="http://schemas.microsoft.com/office/drawing/2014/chart" uri="{C3380CC4-5D6E-409C-BE32-E72D297353CC}">
              <c16:uniqueId val="{00000000-33B6-4D8D-921F-8B64A70D96CB}"/>
            </c:ext>
          </c:extLst>
        </c:ser>
        <c:ser>
          <c:idx val="1"/>
          <c:order val="1"/>
          <c:tx>
            <c:v>Experto/Sommelier</c:v>
          </c:tx>
          <c:spPr>
            <a:ln w="25400" cap="rnd">
              <a:solidFill>
                <a:srgbClr val="0070C0"/>
              </a:solidFill>
              <a:round/>
            </a:ln>
            <a:effectLst>
              <a:outerShdw blurRad="57150" dist="19050" dir="5400000" algn="ctr" rotWithShape="0">
                <a:srgbClr val="000000">
                  <a:alpha val="63000"/>
                </a:srgbClr>
              </a:outerShdw>
            </a:effectLst>
          </c:spPr>
          <c:marker>
            <c:symbol val="none"/>
          </c:marker>
          <c:val>
            <c:numRef>
              <c:f>('Muestra 1'!$D$41:$I$41,'Muestra 1'!$K$41:$M$41)</c:f>
              <c:numCache>
                <c:formatCode>0.00</c:formatCode>
                <c:ptCount val="9"/>
                <c:pt idx="0">
                  <c:v>1</c:v>
                </c:pt>
                <c:pt idx="1">
                  <c:v>1.25</c:v>
                </c:pt>
                <c:pt idx="2">
                  <c:v>0</c:v>
                </c:pt>
                <c:pt idx="3">
                  <c:v>1</c:v>
                </c:pt>
                <c:pt idx="4">
                  <c:v>0.25</c:v>
                </c:pt>
                <c:pt idx="5">
                  <c:v>0.75</c:v>
                </c:pt>
                <c:pt idx="6">
                  <c:v>1.5</c:v>
                </c:pt>
                <c:pt idx="7">
                  <c:v>1.25</c:v>
                </c:pt>
                <c:pt idx="8">
                  <c:v>1.75</c:v>
                </c:pt>
              </c:numCache>
            </c:numRef>
          </c:val>
          <c:extLst>
            <c:ext xmlns:c16="http://schemas.microsoft.com/office/drawing/2014/chart" uri="{C3380CC4-5D6E-409C-BE32-E72D297353CC}">
              <c16:uniqueId val="{00000001-33B6-4D8D-921F-8B64A70D96CB}"/>
            </c:ext>
          </c:extLst>
        </c:ser>
        <c:ser>
          <c:idx val="2"/>
          <c:order val="2"/>
          <c:tx>
            <c:strRef>
              <c:f>'Muestra 1'!$A$43</c:f>
              <c:strCache>
                <c:ptCount val="1"/>
                <c:pt idx="0">
                  <c:v>Aficionado al whisky</c:v>
                </c:pt>
              </c:strCache>
            </c:strRef>
          </c:tx>
          <c:spPr>
            <a:ln w="25400" cap="rnd">
              <a:solidFill>
                <a:schemeClr val="accent3"/>
              </a:solidFill>
              <a:round/>
            </a:ln>
            <a:effectLst>
              <a:outerShdw blurRad="57150" dist="19050" dir="5400000" algn="ctr" rotWithShape="0">
                <a:srgbClr val="000000">
                  <a:alpha val="63000"/>
                </a:srgbClr>
              </a:outerShdw>
            </a:effectLst>
          </c:spPr>
          <c:marker>
            <c:symbol val="none"/>
          </c:marker>
          <c:val>
            <c:numRef>
              <c:f>('Muestra 1'!$D$52:$I$52,'Muestra 1'!$K$52:$M$52)</c:f>
              <c:numCache>
                <c:formatCode>0.00</c:formatCode>
                <c:ptCount val="9"/>
                <c:pt idx="0">
                  <c:v>2.2857142857142856</c:v>
                </c:pt>
                <c:pt idx="1">
                  <c:v>0.7142857142857143</c:v>
                </c:pt>
                <c:pt idx="2">
                  <c:v>0.8571428571428571</c:v>
                </c:pt>
                <c:pt idx="3">
                  <c:v>1.7142857142857142</c:v>
                </c:pt>
                <c:pt idx="4">
                  <c:v>1.1428571428571428</c:v>
                </c:pt>
                <c:pt idx="5">
                  <c:v>1</c:v>
                </c:pt>
                <c:pt idx="6">
                  <c:v>2.4285714285714284</c:v>
                </c:pt>
                <c:pt idx="7">
                  <c:v>1.8571428571428572</c:v>
                </c:pt>
                <c:pt idx="8">
                  <c:v>2.2857142857142856</c:v>
                </c:pt>
              </c:numCache>
            </c:numRef>
          </c:val>
          <c:extLst>
            <c:ext xmlns:c16="http://schemas.microsoft.com/office/drawing/2014/chart" uri="{C3380CC4-5D6E-409C-BE32-E72D297353CC}">
              <c16:uniqueId val="{00000002-33B6-4D8D-921F-8B64A70D96CB}"/>
            </c:ext>
          </c:extLst>
        </c:ser>
        <c:ser>
          <c:idx val="3"/>
          <c:order val="3"/>
          <c:tx>
            <c:strRef>
              <c:f>'Muestra 1'!$A$54</c:f>
              <c:strCache>
                <c:ptCount val="1"/>
                <c:pt idx="0">
                  <c:v>Consumidor General de Destilados</c:v>
                </c:pt>
              </c:strCache>
            </c:strRef>
          </c:tx>
          <c:spPr>
            <a:ln w="25400" cap="rnd">
              <a:solidFill>
                <a:schemeClr val="accent4"/>
              </a:solidFill>
              <a:prstDash val="solid"/>
              <a:round/>
            </a:ln>
            <a:effectLst>
              <a:outerShdw blurRad="57150" dist="19050" dir="5400000" algn="ctr" rotWithShape="0">
                <a:srgbClr val="000000">
                  <a:alpha val="63000"/>
                </a:srgbClr>
              </a:outerShdw>
            </a:effectLst>
          </c:spPr>
          <c:marker>
            <c:symbol val="none"/>
          </c:marker>
          <c:val>
            <c:numRef>
              <c:f>('Muestra 1'!$D$76:$I$76,'Muestra 1'!$K$76:$M$76)</c:f>
              <c:numCache>
                <c:formatCode>0.00</c:formatCode>
                <c:ptCount val="9"/>
                <c:pt idx="0">
                  <c:v>2.4500000000000002</c:v>
                </c:pt>
                <c:pt idx="1">
                  <c:v>1.35</c:v>
                </c:pt>
                <c:pt idx="2">
                  <c:v>1.35</c:v>
                </c:pt>
                <c:pt idx="3">
                  <c:v>1.75</c:v>
                </c:pt>
                <c:pt idx="4">
                  <c:v>0.95</c:v>
                </c:pt>
                <c:pt idx="5">
                  <c:v>0.5</c:v>
                </c:pt>
                <c:pt idx="6">
                  <c:v>2.2999999999999998</c:v>
                </c:pt>
                <c:pt idx="7">
                  <c:v>1.95</c:v>
                </c:pt>
                <c:pt idx="8">
                  <c:v>2.1</c:v>
                </c:pt>
              </c:numCache>
            </c:numRef>
          </c:val>
          <c:extLst>
            <c:ext xmlns:c16="http://schemas.microsoft.com/office/drawing/2014/chart" uri="{C3380CC4-5D6E-409C-BE32-E72D297353CC}">
              <c16:uniqueId val="{00000003-33B6-4D8D-921F-8B64A70D96CB}"/>
            </c:ext>
          </c:extLst>
        </c:ser>
        <c:dLbls>
          <c:showLegendKey val="0"/>
          <c:showVal val="0"/>
          <c:showCatName val="0"/>
          <c:showSerName val="0"/>
          <c:showPercent val="0"/>
          <c:showBubbleSize val="0"/>
        </c:dLbls>
        <c:axId val="7944911"/>
        <c:axId val="7945391"/>
      </c:radarChart>
      <c:catAx>
        <c:axId val="7944911"/>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7945391"/>
        <c:crosses val="autoZero"/>
        <c:auto val="1"/>
        <c:lblAlgn val="ctr"/>
        <c:lblOffset val="100"/>
        <c:noMultiLvlLbl val="0"/>
      </c:catAx>
      <c:valAx>
        <c:axId val="7945391"/>
        <c:scaling>
          <c:orientation val="minMax"/>
          <c:max val="3"/>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7944911"/>
        <c:crosses val="autoZero"/>
        <c:crossBetween val="between"/>
      </c:valAx>
      <c:spPr>
        <a:noFill/>
        <a:ln>
          <a:noFill/>
        </a:ln>
        <a:effectLst/>
      </c:spPr>
    </c:plotArea>
    <c:legend>
      <c:legendPos val="r"/>
      <c:layout>
        <c:manualLayout>
          <c:xMode val="edge"/>
          <c:yMode val="edge"/>
          <c:x val="0.67213757655293094"/>
          <c:y val="0.32361986001749782"/>
          <c:w val="0.31119575678040245"/>
          <c:h val="0.400908428113152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s-CL" sz="1600" b="1"/>
              <a:t>Sabor C-70</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manualLayout>
          <c:layoutTarget val="inner"/>
          <c:xMode val="edge"/>
          <c:yMode val="edge"/>
          <c:x val="0.1496314790254315"/>
          <c:y val="0.22248801780212257"/>
          <c:w val="0.43386077921061456"/>
          <c:h val="0.7211365970558028"/>
        </c:manualLayout>
      </c:layout>
      <c:radarChart>
        <c:radarStyle val="marker"/>
        <c:varyColors val="0"/>
        <c:ser>
          <c:idx val="0"/>
          <c:order val="0"/>
          <c:tx>
            <c:strRef>
              <c:f>'Muestra 1'!$A$33</c:f>
              <c:strCache>
                <c:ptCount val="1"/>
                <c:pt idx="0">
                  <c:v>Promedio</c:v>
                </c:pt>
              </c:strCache>
            </c:strRef>
          </c:tx>
          <c:spPr>
            <a:ln w="44450" cap="rnd">
              <a:solidFill>
                <a:srgbClr val="FF0000"/>
              </a:solidFill>
              <a:prstDash val="sysDash"/>
              <a:round/>
            </a:ln>
            <a:effectLst/>
          </c:spPr>
          <c:marker>
            <c:symbol val="none"/>
          </c:marker>
          <c:cat>
            <c:strRef>
              <c:f>'Muestra 1'!$O$1:$V$1</c:f>
              <c:strCache>
                <c:ptCount val="8"/>
                <c:pt idx="0">
                  <c:v>Intensidad de ahumado
</c:v>
                </c:pt>
                <c:pt idx="1">
                  <c:v> Medicinal</c:v>
                </c:pt>
                <c:pt idx="2">
                  <c:v> Terroso</c:v>
                </c:pt>
                <c:pt idx="3">
                  <c:v>Amaderado</c:v>
                </c:pt>
                <c:pt idx="4">
                  <c:v>Café</c:v>
                </c:pt>
                <c:pt idx="5">
                  <c:v>Frutal</c:v>
                </c:pt>
                <c:pt idx="6">
                  <c:v>Vainilla</c:v>
                </c:pt>
                <c:pt idx="7">
                  <c:v>Cereal </c:v>
                </c:pt>
              </c:strCache>
            </c:strRef>
          </c:cat>
          <c:val>
            <c:numRef>
              <c:f>'Muestra 1'!$O$33:$V$33</c:f>
              <c:numCache>
                <c:formatCode>0.00</c:formatCode>
                <c:ptCount val="8"/>
                <c:pt idx="0">
                  <c:v>2.129032258064516</c:v>
                </c:pt>
                <c:pt idx="1">
                  <c:v>2.193548387096774</c:v>
                </c:pt>
                <c:pt idx="2">
                  <c:v>1.8709677419354838</c:v>
                </c:pt>
                <c:pt idx="3">
                  <c:v>2.193548387096774</c:v>
                </c:pt>
                <c:pt idx="4">
                  <c:v>1.5806451612903225</c:v>
                </c:pt>
                <c:pt idx="5">
                  <c:v>2.4516129032258065</c:v>
                </c:pt>
                <c:pt idx="6">
                  <c:v>1.903225806451613</c:v>
                </c:pt>
                <c:pt idx="7">
                  <c:v>1.6451612903225807</c:v>
                </c:pt>
              </c:numCache>
            </c:numRef>
          </c:val>
          <c:extLst>
            <c:ext xmlns:c16="http://schemas.microsoft.com/office/drawing/2014/chart" uri="{C3380CC4-5D6E-409C-BE32-E72D297353CC}">
              <c16:uniqueId val="{00000000-44B0-4E46-8AC1-68E9C3E8CE6B}"/>
            </c:ext>
          </c:extLst>
        </c:ser>
        <c:ser>
          <c:idx val="1"/>
          <c:order val="1"/>
          <c:tx>
            <c:strRef>
              <c:f>'Muestra 1'!$A$35</c:f>
              <c:strCache>
                <c:ptCount val="1"/>
                <c:pt idx="0">
                  <c:v>Experto/ Sommelier</c:v>
                </c:pt>
              </c:strCache>
            </c:strRef>
          </c:tx>
          <c:spPr>
            <a:ln w="25400" cap="rnd">
              <a:solidFill>
                <a:srgbClr val="0070C0"/>
              </a:solidFill>
              <a:round/>
            </a:ln>
            <a:effectLst/>
          </c:spPr>
          <c:marker>
            <c:symbol val="none"/>
          </c:marker>
          <c:val>
            <c:numRef>
              <c:f>'Muestra 1'!$O$41:$V$41</c:f>
              <c:numCache>
                <c:formatCode>0.00</c:formatCode>
                <c:ptCount val="8"/>
                <c:pt idx="0">
                  <c:v>1.25</c:v>
                </c:pt>
                <c:pt idx="1">
                  <c:v>1.5</c:v>
                </c:pt>
                <c:pt idx="2">
                  <c:v>1</c:v>
                </c:pt>
                <c:pt idx="3">
                  <c:v>2</c:v>
                </c:pt>
                <c:pt idx="4">
                  <c:v>1</c:v>
                </c:pt>
                <c:pt idx="5">
                  <c:v>2.25</c:v>
                </c:pt>
                <c:pt idx="6">
                  <c:v>1.5</c:v>
                </c:pt>
                <c:pt idx="7">
                  <c:v>1.25</c:v>
                </c:pt>
              </c:numCache>
            </c:numRef>
          </c:val>
          <c:extLst>
            <c:ext xmlns:c16="http://schemas.microsoft.com/office/drawing/2014/chart" uri="{C3380CC4-5D6E-409C-BE32-E72D297353CC}">
              <c16:uniqueId val="{00000001-44B0-4E46-8AC1-68E9C3E8CE6B}"/>
            </c:ext>
          </c:extLst>
        </c:ser>
        <c:ser>
          <c:idx val="2"/>
          <c:order val="2"/>
          <c:tx>
            <c:strRef>
              <c:f>'Muestra 1'!$A$43</c:f>
              <c:strCache>
                <c:ptCount val="1"/>
                <c:pt idx="0">
                  <c:v>Aficionado al whisky</c:v>
                </c:pt>
              </c:strCache>
            </c:strRef>
          </c:tx>
          <c:spPr>
            <a:ln w="25400" cap="rnd">
              <a:solidFill>
                <a:schemeClr val="accent3"/>
              </a:solidFill>
              <a:round/>
            </a:ln>
            <a:effectLst/>
          </c:spPr>
          <c:marker>
            <c:symbol val="none"/>
          </c:marker>
          <c:val>
            <c:numRef>
              <c:f>'Muestra 1'!$O$52:$V$52</c:f>
              <c:numCache>
                <c:formatCode>0.00</c:formatCode>
                <c:ptCount val="8"/>
                <c:pt idx="0">
                  <c:v>2.5714285714285716</c:v>
                </c:pt>
                <c:pt idx="1">
                  <c:v>1.8571428571428572</c:v>
                </c:pt>
                <c:pt idx="2">
                  <c:v>2.2857142857142856</c:v>
                </c:pt>
                <c:pt idx="3">
                  <c:v>2.2857142857142856</c:v>
                </c:pt>
                <c:pt idx="4">
                  <c:v>2</c:v>
                </c:pt>
                <c:pt idx="5">
                  <c:v>2.4285714285714284</c:v>
                </c:pt>
                <c:pt idx="6">
                  <c:v>2</c:v>
                </c:pt>
                <c:pt idx="7">
                  <c:v>1.7142857142857142</c:v>
                </c:pt>
              </c:numCache>
            </c:numRef>
          </c:val>
          <c:extLst>
            <c:ext xmlns:c16="http://schemas.microsoft.com/office/drawing/2014/chart" uri="{C3380CC4-5D6E-409C-BE32-E72D297353CC}">
              <c16:uniqueId val="{00000002-44B0-4E46-8AC1-68E9C3E8CE6B}"/>
            </c:ext>
          </c:extLst>
        </c:ser>
        <c:ser>
          <c:idx val="3"/>
          <c:order val="3"/>
          <c:tx>
            <c:strRef>
              <c:f>'Muestra 1'!$A$54</c:f>
              <c:strCache>
                <c:ptCount val="1"/>
                <c:pt idx="0">
                  <c:v>Consumidor General de Destilados</c:v>
                </c:pt>
              </c:strCache>
            </c:strRef>
          </c:tx>
          <c:spPr>
            <a:ln w="25400" cap="rnd">
              <a:solidFill>
                <a:schemeClr val="accent4"/>
              </a:solidFill>
              <a:round/>
            </a:ln>
            <a:effectLst/>
          </c:spPr>
          <c:marker>
            <c:symbol val="none"/>
          </c:marker>
          <c:val>
            <c:numRef>
              <c:f>'Muestra 1'!$O$76:$V$76</c:f>
              <c:numCache>
                <c:formatCode>0.00</c:formatCode>
                <c:ptCount val="8"/>
                <c:pt idx="0">
                  <c:v>2.15</c:v>
                </c:pt>
                <c:pt idx="1">
                  <c:v>2.4500000000000002</c:v>
                </c:pt>
                <c:pt idx="2">
                  <c:v>1.9</c:v>
                </c:pt>
                <c:pt idx="3">
                  <c:v>2.2000000000000002</c:v>
                </c:pt>
                <c:pt idx="4">
                  <c:v>1.55</c:v>
                </c:pt>
                <c:pt idx="5">
                  <c:v>2.5</c:v>
                </c:pt>
                <c:pt idx="6">
                  <c:v>1.95</c:v>
                </c:pt>
                <c:pt idx="7">
                  <c:v>1.7</c:v>
                </c:pt>
              </c:numCache>
            </c:numRef>
          </c:val>
          <c:extLst>
            <c:ext xmlns:c16="http://schemas.microsoft.com/office/drawing/2014/chart" uri="{C3380CC4-5D6E-409C-BE32-E72D297353CC}">
              <c16:uniqueId val="{00000003-44B0-4E46-8AC1-68E9C3E8CE6B}"/>
            </c:ext>
          </c:extLst>
        </c:ser>
        <c:dLbls>
          <c:showLegendKey val="0"/>
          <c:showVal val="0"/>
          <c:showCatName val="0"/>
          <c:showSerName val="0"/>
          <c:showPercent val="0"/>
          <c:showBubbleSize val="0"/>
        </c:dLbls>
        <c:axId val="427634383"/>
        <c:axId val="427630063"/>
      </c:radarChart>
      <c:catAx>
        <c:axId val="427634383"/>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27630063"/>
        <c:crosses val="autoZero"/>
        <c:auto val="1"/>
        <c:lblAlgn val="ctr"/>
        <c:lblOffset val="100"/>
        <c:noMultiLvlLbl val="0"/>
      </c:catAx>
      <c:valAx>
        <c:axId val="4276300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27634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600" b="1"/>
              <a:t>Regusto-Final C-70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manualLayout>
          <c:layoutTarget val="inner"/>
          <c:xMode val="edge"/>
          <c:yMode val="edge"/>
          <c:x val="0.15761213417926953"/>
          <c:y val="0.27981955991079405"/>
          <c:w val="0.42820148622456078"/>
          <c:h val="0.60171463027672456"/>
        </c:manualLayout>
      </c:layout>
      <c:radarChart>
        <c:radarStyle val="marker"/>
        <c:varyColors val="0"/>
        <c:ser>
          <c:idx val="0"/>
          <c:order val="0"/>
          <c:tx>
            <c:strRef>
              <c:f>'Muestra 1'!$A$33</c:f>
              <c:strCache>
                <c:ptCount val="1"/>
                <c:pt idx="0">
                  <c:v>Promedio</c:v>
                </c:pt>
              </c:strCache>
            </c:strRef>
          </c:tx>
          <c:spPr>
            <a:ln w="44450" cap="rnd">
              <a:solidFill>
                <a:srgbClr val="FF0000"/>
              </a:solidFill>
              <a:prstDash val="sysDash"/>
              <a:round/>
            </a:ln>
            <a:effectLst/>
          </c:spPr>
          <c:marker>
            <c:symbol val="none"/>
          </c:marker>
          <c:cat>
            <c:strRef>
              <c:f>'Muestra 1'!$X$1:$AD$1</c:f>
              <c:strCache>
                <c:ptCount val="7"/>
                <c:pt idx="0">
                  <c:v>Sensación en boca</c:v>
                </c:pt>
                <c:pt idx="1">
                  <c:v>Duración</c:v>
                </c:pt>
                <c:pt idx="2">
                  <c:v>Ahumado</c:v>
                </c:pt>
                <c:pt idx="3">
                  <c:v>Complejidad</c:v>
                </c:pt>
                <c:pt idx="4">
                  <c:v>Integración del ahumado con otros sabores</c:v>
                </c:pt>
                <c:pt idx="5">
                  <c:v>Armonía entre nariz, paladar y final.</c:v>
                </c:pt>
                <c:pt idx="6">
                  <c:v>Tomabilidad (enfocada en el ahumado)</c:v>
                </c:pt>
              </c:strCache>
            </c:strRef>
          </c:cat>
          <c:val>
            <c:numRef>
              <c:f>'Muestra 1'!$X$33:$AD$33</c:f>
              <c:numCache>
                <c:formatCode>0.00</c:formatCode>
                <c:ptCount val="7"/>
                <c:pt idx="0">
                  <c:v>2.5806451612903225</c:v>
                </c:pt>
                <c:pt idx="1">
                  <c:v>2.5483870967741935</c:v>
                </c:pt>
                <c:pt idx="2">
                  <c:v>1.4193548387096775</c:v>
                </c:pt>
                <c:pt idx="3">
                  <c:v>1.7419354838709677</c:v>
                </c:pt>
                <c:pt idx="4">
                  <c:v>3.5806451612903225</c:v>
                </c:pt>
                <c:pt idx="5">
                  <c:v>2.774193548387097</c:v>
                </c:pt>
                <c:pt idx="6">
                  <c:v>3.225806451612903</c:v>
                </c:pt>
              </c:numCache>
            </c:numRef>
          </c:val>
          <c:extLst>
            <c:ext xmlns:c16="http://schemas.microsoft.com/office/drawing/2014/chart" uri="{C3380CC4-5D6E-409C-BE32-E72D297353CC}">
              <c16:uniqueId val="{00000000-316B-4615-9DCD-AD7B1F60D820}"/>
            </c:ext>
          </c:extLst>
        </c:ser>
        <c:ser>
          <c:idx val="1"/>
          <c:order val="1"/>
          <c:tx>
            <c:strRef>
              <c:f>'Muestra 1'!$A$35</c:f>
              <c:strCache>
                <c:ptCount val="1"/>
                <c:pt idx="0">
                  <c:v>Experto/ Sommelier</c:v>
                </c:pt>
              </c:strCache>
            </c:strRef>
          </c:tx>
          <c:spPr>
            <a:ln w="25400" cap="rnd">
              <a:solidFill>
                <a:srgbClr val="0070C0"/>
              </a:solidFill>
              <a:round/>
            </a:ln>
            <a:effectLst/>
          </c:spPr>
          <c:marker>
            <c:symbol val="none"/>
          </c:marker>
          <c:val>
            <c:numRef>
              <c:f>'Muestra 1'!$X$41:$AD$41</c:f>
              <c:numCache>
                <c:formatCode>0.00</c:formatCode>
                <c:ptCount val="7"/>
                <c:pt idx="0">
                  <c:v>3.25</c:v>
                </c:pt>
                <c:pt idx="1">
                  <c:v>3</c:v>
                </c:pt>
                <c:pt idx="2">
                  <c:v>0.5</c:v>
                </c:pt>
                <c:pt idx="3">
                  <c:v>1.25</c:v>
                </c:pt>
                <c:pt idx="4">
                  <c:v>4.25</c:v>
                </c:pt>
                <c:pt idx="5">
                  <c:v>2.75</c:v>
                </c:pt>
                <c:pt idx="6">
                  <c:v>3.25</c:v>
                </c:pt>
              </c:numCache>
            </c:numRef>
          </c:val>
          <c:extLst>
            <c:ext xmlns:c16="http://schemas.microsoft.com/office/drawing/2014/chart" uri="{C3380CC4-5D6E-409C-BE32-E72D297353CC}">
              <c16:uniqueId val="{00000001-316B-4615-9DCD-AD7B1F60D820}"/>
            </c:ext>
          </c:extLst>
        </c:ser>
        <c:ser>
          <c:idx val="2"/>
          <c:order val="2"/>
          <c:tx>
            <c:strRef>
              <c:f>'Muestra 1'!$A$43</c:f>
              <c:strCache>
                <c:ptCount val="1"/>
                <c:pt idx="0">
                  <c:v>Aficionado al whisky</c:v>
                </c:pt>
              </c:strCache>
            </c:strRef>
          </c:tx>
          <c:spPr>
            <a:ln w="25400" cap="rnd">
              <a:solidFill>
                <a:schemeClr val="accent3"/>
              </a:solidFill>
              <a:round/>
            </a:ln>
            <a:effectLst/>
          </c:spPr>
          <c:marker>
            <c:symbol val="none"/>
          </c:marker>
          <c:val>
            <c:numRef>
              <c:f>'Muestra 1'!$X$52:$AD$52</c:f>
              <c:numCache>
                <c:formatCode>0.00</c:formatCode>
                <c:ptCount val="7"/>
                <c:pt idx="0">
                  <c:v>2.5714285714285716</c:v>
                </c:pt>
                <c:pt idx="1">
                  <c:v>2</c:v>
                </c:pt>
                <c:pt idx="2">
                  <c:v>1.7142857142857142</c:v>
                </c:pt>
                <c:pt idx="3">
                  <c:v>1.8571428571428572</c:v>
                </c:pt>
                <c:pt idx="4">
                  <c:v>3.7142857142857144</c:v>
                </c:pt>
                <c:pt idx="5">
                  <c:v>3</c:v>
                </c:pt>
                <c:pt idx="6">
                  <c:v>3.7142857142857144</c:v>
                </c:pt>
              </c:numCache>
            </c:numRef>
          </c:val>
          <c:extLst>
            <c:ext xmlns:c16="http://schemas.microsoft.com/office/drawing/2014/chart" uri="{C3380CC4-5D6E-409C-BE32-E72D297353CC}">
              <c16:uniqueId val="{00000002-316B-4615-9DCD-AD7B1F60D820}"/>
            </c:ext>
          </c:extLst>
        </c:ser>
        <c:ser>
          <c:idx val="3"/>
          <c:order val="3"/>
          <c:tx>
            <c:strRef>
              <c:f>'Muestra 1'!$A$54</c:f>
              <c:strCache>
                <c:ptCount val="1"/>
                <c:pt idx="0">
                  <c:v>Consumidor General de Destilados</c:v>
                </c:pt>
              </c:strCache>
            </c:strRef>
          </c:tx>
          <c:spPr>
            <a:ln w="25400" cap="rnd">
              <a:solidFill>
                <a:schemeClr val="accent4"/>
              </a:solidFill>
              <a:round/>
            </a:ln>
            <a:effectLst/>
          </c:spPr>
          <c:marker>
            <c:symbol val="none"/>
          </c:marker>
          <c:val>
            <c:numRef>
              <c:f>'Muestra 1'!$X$76:$AD$76</c:f>
              <c:numCache>
                <c:formatCode>0.00</c:formatCode>
                <c:ptCount val="7"/>
                <c:pt idx="0">
                  <c:v>2.4500000000000002</c:v>
                </c:pt>
                <c:pt idx="1">
                  <c:v>2.65</c:v>
                </c:pt>
                <c:pt idx="2">
                  <c:v>1.5</c:v>
                </c:pt>
                <c:pt idx="3">
                  <c:v>1.8</c:v>
                </c:pt>
                <c:pt idx="4">
                  <c:v>3.4</c:v>
                </c:pt>
                <c:pt idx="5">
                  <c:v>2.7</c:v>
                </c:pt>
                <c:pt idx="6">
                  <c:v>3.05</c:v>
                </c:pt>
              </c:numCache>
            </c:numRef>
          </c:val>
          <c:extLst>
            <c:ext xmlns:c16="http://schemas.microsoft.com/office/drawing/2014/chart" uri="{C3380CC4-5D6E-409C-BE32-E72D297353CC}">
              <c16:uniqueId val="{00000003-316B-4615-9DCD-AD7B1F60D820}"/>
            </c:ext>
          </c:extLst>
        </c:ser>
        <c:dLbls>
          <c:showLegendKey val="0"/>
          <c:showVal val="0"/>
          <c:showCatName val="0"/>
          <c:showSerName val="0"/>
          <c:showPercent val="0"/>
          <c:showBubbleSize val="0"/>
        </c:dLbls>
        <c:axId val="427635823"/>
        <c:axId val="427638223"/>
      </c:radarChart>
      <c:catAx>
        <c:axId val="427635823"/>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27638223"/>
        <c:crosses val="autoZero"/>
        <c:auto val="1"/>
        <c:lblAlgn val="ctr"/>
        <c:lblOffset val="100"/>
        <c:noMultiLvlLbl val="0"/>
      </c:catAx>
      <c:valAx>
        <c:axId val="4276382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27635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s-CL"/>
              <a:t>Aroma B1</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CL"/>
        </a:p>
      </c:txPr>
    </c:title>
    <c:autoTitleDeleted val="0"/>
    <c:plotArea>
      <c:layout>
        <c:manualLayout>
          <c:layoutTarget val="inner"/>
          <c:xMode val="edge"/>
          <c:yMode val="edge"/>
          <c:x val="0.13066076115485564"/>
          <c:y val="0.19809346748323126"/>
          <c:w val="0.44360214348206473"/>
          <c:h val="0.73933690580344125"/>
        </c:manualLayout>
      </c:layout>
      <c:radarChart>
        <c:radarStyle val="marker"/>
        <c:varyColors val="0"/>
        <c:ser>
          <c:idx val="0"/>
          <c:order val="0"/>
          <c:tx>
            <c:v>Promedio</c:v>
          </c:tx>
          <c:spPr>
            <a:ln w="44450" cap="rnd">
              <a:solidFill>
                <a:srgbClr val="FF0000"/>
              </a:solidFill>
              <a:prstDash val="sysDash"/>
              <a:round/>
            </a:ln>
            <a:effectLst>
              <a:outerShdw blurRad="57150" dist="19050" dir="5400000" algn="ctr" rotWithShape="0">
                <a:srgbClr val="000000">
                  <a:alpha val="63000"/>
                </a:srgbClr>
              </a:outerShdw>
            </a:effectLst>
          </c:spPr>
          <c:marker>
            <c:symbol val="none"/>
          </c:marker>
          <c:cat>
            <c:strRef>
              <c:f>('Muestra 2'!$D$1:$I$1,'Muestra 2'!$L$1:$M$1,'Muestra 2'!$K$1,'Muestra 2'!$D$1:$I$1,'Muestra 2'!$K$1:$M$1)</c:f>
              <c:strCache>
                <c:ptCount val="18"/>
                <c:pt idx="0">
                  <c:v>Intensidad Ahumado</c:v>
                </c:pt>
                <c:pt idx="1">
                  <c:v> Medicinal</c:v>
                </c:pt>
                <c:pt idx="2">
                  <c:v> Terroso</c:v>
                </c:pt>
                <c:pt idx="3">
                  <c:v>Amaderado</c:v>
                </c:pt>
                <c:pt idx="4">
                  <c:v>Café</c:v>
                </c:pt>
                <c:pt idx="5">
                  <c:v>Otro</c:v>
                </c:pt>
                <c:pt idx="6">
                  <c:v>Vainilla</c:v>
                </c:pt>
                <c:pt idx="7">
                  <c:v>Cereal </c:v>
                </c:pt>
                <c:pt idx="8">
                  <c:v>Frutal</c:v>
                </c:pt>
                <c:pt idx="9">
                  <c:v>Intensidad Ahumado</c:v>
                </c:pt>
                <c:pt idx="10">
                  <c:v> Medicinal</c:v>
                </c:pt>
                <c:pt idx="11">
                  <c:v> Terroso</c:v>
                </c:pt>
                <c:pt idx="12">
                  <c:v>Amaderado</c:v>
                </c:pt>
                <c:pt idx="13">
                  <c:v>Café</c:v>
                </c:pt>
                <c:pt idx="14">
                  <c:v>Otro</c:v>
                </c:pt>
                <c:pt idx="15">
                  <c:v>Frutal</c:v>
                </c:pt>
                <c:pt idx="16">
                  <c:v>Vainilla</c:v>
                </c:pt>
                <c:pt idx="17">
                  <c:v>Cereal </c:v>
                </c:pt>
              </c:strCache>
            </c:strRef>
          </c:cat>
          <c:val>
            <c:numRef>
              <c:f>('Muestra 2'!$D$32:$I$32,'Muestra 2'!$K$32:$M$32)</c:f>
              <c:numCache>
                <c:formatCode>0.00</c:formatCode>
                <c:ptCount val="9"/>
                <c:pt idx="0">
                  <c:v>2.7</c:v>
                </c:pt>
                <c:pt idx="1">
                  <c:v>1.1333333333333333</c:v>
                </c:pt>
                <c:pt idx="2">
                  <c:v>1.3333333333333333</c:v>
                </c:pt>
                <c:pt idx="3">
                  <c:v>2.15</c:v>
                </c:pt>
                <c:pt idx="4">
                  <c:v>1.1166666666666667</c:v>
                </c:pt>
                <c:pt idx="5">
                  <c:v>0.56666666666666665</c:v>
                </c:pt>
                <c:pt idx="6">
                  <c:v>2.2666666666666666</c:v>
                </c:pt>
                <c:pt idx="7">
                  <c:v>2.5333333333333332</c:v>
                </c:pt>
                <c:pt idx="8">
                  <c:v>1.8833333333333333</c:v>
                </c:pt>
              </c:numCache>
            </c:numRef>
          </c:val>
          <c:extLst>
            <c:ext xmlns:c16="http://schemas.microsoft.com/office/drawing/2014/chart" uri="{C3380CC4-5D6E-409C-BE32-E72D297353CC}">
              <c16:uniqueId val="{00000000-9D39-4C39-94DC-D4589AA2F102}"/>
            </c:ext>
          </c:extLst>
        </c:ser>
        <c:ser>
          <c:idx val="1"/>
          <c:order val="1"/>
          <c:tx>
            <c:v>Experto/Sommelier</c:v>
          </c:tx>
          <c:spPr>
            <a:ln w="25400" cap="rnd">
              <a:solidFill>
                <a:srgbClr val="0070C0"/>
              </a:solidFill>
              <a:round/>
            </a:ln>
            <a:effectLst>
              <a:outerShdw blurRad="57150" dist="19050" dir="5400000" algn="ctr" rotWithShape="0">
                <a:srgbClr val="000000">
                  <a:alpha val="63000"/>
                </a:srgbClr>
              </a:outerShdw>
            </a:effectLst>
          </c:spPr>
          <c:marker>
            <c:symbol val="none"/>
          </c:marker>
          <c:val>
            <c:numRef>
              <c:f>('Muestra 2'!$D$40:$I$40,'Muestra 2'!$K$40:$M$40)</c:f>
              <c:numCache>
                <c:formatCode>0.00</c:formatCode>
                <c:ptCount val="9"/>
                <c:pt idx="0">
                  <c:v>2.25</c:v>
                </c:pt>
                <c:pt idx="1">
                  <c:v>0.75</c:v>
                </c:pt>
                <c:pt idx="2">
                  <c:v>0</c:v>
                </c:pt>
                <c:pt idx="3">
                  <c:v>2.5</c:v>
                </c:pt>
                <c:pt idx="4">
                  <c:v>0.75</c:v>
                </c:pt>
                <c:pt idx="5">
                  <c:v>1</c:v>
                </c:pt>
                <c:pt idx="6">
                  <c:v>2.25</c:v>
                </c:pt>
                <c:pt idx="7">
                  <c:v>2</c:v>
                </c:pt>
                <c:pt idx="8">
                  <c:v>1.375</c:v>
                </c:pt>
              </c:numCache>
            </c:numRef>
          </c:val>
          <c:extLst>
            <c:ext xmlns:c16="http://schemas.microsoft.com/office/drawing/2014/chart" uri="{C3380CC4-5D6E-409C-BE32-E72D297353CC}">
              <c16:uniqueId val="{00000001-9D39-4C39-94DC-D4589AA2F102}"/>
            </c:ext>
          </c:extLst>
        </c:ser>
        <c:ser>
          <c:idx val="2"/>
          <c:order val="2"/>
          <c:tx>
            <c:strRef>
              <c:f>'Muestra 2'!$A$42</c:f>
              <c:strCache>
                <c:ptCount val="1"/>
                <c:pt idx="0">
                  <c:v>Aficionado al whisky</c:v>
                </c:pt>
              </c:strCache>
            </c:strRef>
          </c:tx>
          <c:spPr>
            <a:ln w="25400" cap="rnd">
              <a:solidFill>
                <a:schemeClr val="accent3"/>
              </a:solidFill>
              <a:round/>
            </a:ln>
            <a:effectLst>
              <a:outerShdw blurRad="57150" dist="19050" dir="5400000" algn="ctr" rotWithShape="0">
                <a:srgbClr val="000000">
                  <a:alpha val="63000"/>
                </a:srgbClr>
              </a:outerShdw>
            </a:effectLst>
          </c:spPr>
          <c:marker>
            <c:symbol val="none"/>
          </c:marker>
          <c:val>
            <c:numRef>
              <c:f>('Muestra 2'!$D$51:$I$51,'Muestra 2'!$K$51:$M$51)</c:f>
              <c:numCache>
                <c:formatCode>0.00</c:formatCode>
                <c:ptCount val="9"/>
                <c:pt idx="0">
                  <c:v>1.9285714285714286</c:v>
                </c:pt>
                <c:pt idx="1">
                  <c:v>0.6428571428571429</c:v>
                </c:pt>
                <c:pt idx="2">
                  <c:v>0.5714285714285714</c:v>
                </c:pt>
                <c:pt idx="3">
                  <c:v>1</c:v>
                </c:pt>
                <c:pt idx="4">
                  <c:v>0.2857142857142857</c:v>
                </c:pt>
                <c:pt idx="5">
                  <c:v>0.2857142857142857</c:v>
                </c:pt>
                <c:pt idx="6">
                  <c:v>2.8571428571428572</c:v>
                </c:pt>
                <c:pt idx="7">
                  <c:v>2.5714285714285716</c:v>
                </c:pt>
                <c:pt idx="8">
                  <c:v>2</c:v>
                </c:pt>
              </c:numCache>
            </c:numRef>
          </c:val>
          <c:extLst>
            <c:ext xmlns:c16="http://schemas.microsoft.com/office/drawing/2014/chart" uri="{C3380CC4-5D6E-409C-BE32-E72D297353CC}">
              <c16:uniqueId val="{00000002-9D39-4C39-94DC-D4589AA2F102}"/>
            </c:ext>
          </c:extLst>
        </c:ser>
        <c:ser>
          <c:idx val="3"/>
          <c:order val="3"/>
          <c:tx>
            <c:strRef>
              <c:f>'Muestra 2'!$A$53</c:f>
              <c:strCache>
                <c:ptCount val="1"/>
                <c:pt idx="0">
                  <c:v>Consumidor General de Destilados</c:v>
                </c:pt>
              </c:strCache>
            </c:strRef>
          </c:tx>
          <c:spPr>
            <a:ln w="25400" cap="rnd">
              <a:solidFill>
                <a:schemeClr val="accent4"/>
              </a:solidFill>
              <a:prstDash val="solid"/>
              <a:round/>
            </a:ln>
            <a:effectLst>
              <a:outerShdw blurRad="57150" dist="19050" dir="5400000" algn="ctr" rotWithShape="0">
                <a:srgbClr val="000000">
                  <a:alpha val="63000"/>
                </a:srgbClr>
              </a:outerShdw>
            </a:effectLst>
          </c:spPr>
          <c:marker>
            <c:symbol val="none"/>
          </c:marker>
          <c:val>
            <c:numRef>
              <c:f>('Muestra 2'!$D$74:$I$74,'Muestra 2'!$K$74:$M$74)</c:f>
              <c:numCache>
                <c:formatCode>0.00</c:formatCode>
                <c:ptCount val="9"/>
                <c:pt idx="0">
                  <c:v>3.0789473684210527</c:v>
                </c:pt>
                <c:pt idx="1">
                  <c:v>1.3947368421052631</c:v>
                </c:pt>
                <c:pt idx="2">
                  <c:v>1.8947368421052631</c:v>
                </c:pt>
                <c:pt idx="3">
                  <c:v>2.5</c:v>
                </c:pt>
                <c:pt idx="4">
                  <c:v>1.5</c:v>
                </c:pt>
                <c:pt idx="5">
                  <c:v>0.57894736842105265</c:v>
                </c:pt>
                <c:pt idx="6">
                  <c:v>2.0526315789473686</c:v>
                </c:pt>
                <c:pt idx="7">
                  <c:v>2.6315789473684212</c:v>
                </c:pt>
                <c:pt idx="8">
                  <c:v>1.9473684210526316</c:v>
                </c:pt>
              </c:numCache>
            </c:numRef>
          </c:val>
          <c:extLst>
            <c:ext xmlns:c16="http://schemas.microsoft.com/office/drawing/2014/chart" uri="{C3380CC4-5D6E-409C-BE32-E72D297353CC}">
              <c16:uniqueId val="{00000003-9D39-4C39-94DC-D4589AA2F102}"/>
            </c:ext>
          </c:extLst>
        </c:ser>
        <c:dLbls>
          <c:showLegendKey val="0"/>
          <c:showVal val="0"/>
          <c:showCatName val="0"/>
          <c:showSerName val="0"/>
          <c:showPercent val="0"/>
          <c:showBubbleSize val="0"/>
        </c:dLbls>
        <c:axId val="7944911"/>
        <c:axId val="7945391"/>
      </c:radarChart>
      <c:catAx>
        <c:axId val="7944911"/>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7945391"/>
        <c:crosses val="autoZero"/>
        <c:auto val="1"/>
        <c:lblAlgn val="ctr"/>
        <c:lblOffset val="100"/>
        <c:noMultiLvlLbl val="0"/>
      </c:catAx>
      <c:valAx>
        <c:axId val="79453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7944911"/>
        <c:crosses val="autoZero"/>
        <c:crossBetween val="between"/>
      </c:valAx>
      <c:spPr>
        <a:noFill/>
        <a:ln>
          <a:noFill/>
        </a:ln>
        <a:effectLst/>
      </c:spPr>
    </c:plotArea>
    <c:legend>
      <c:legendPos val="r"/>
      <c:layout>
        <c:manualLayout>
          <c:xMode val="edge"/>
          <c:yMode val="edge"/>
          <c:x val="0.67213757655293094"/>
          <c:y val="0.32361986001749782"/>
          <c:w val="0.31119575678040245"/>
          <c:h val="0.400908428113152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s-CL" sz="1600" b="1"/>
              <a:t>Sabor B1</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manualLayout>
          <c:layoutTarget val="inner"/>
          <c:xMode val="edge"/>
          <c:yMode val="edge"/>
          <c:x val="0.1496314790254315"/>
          <c:y val="0.22248801780212257"/>
          <c:w val="0.43386077921061456"/>
          <c:h val="0.7211365970558028"/>
        </c:manualLayout>
      </c:layout>
      <c:radarChart>
        <c:radarStyle val="marker"/>
        <c:varyColors val="0"/>
        <c:ser>
          <c:idx val="0"/>
          <c:order val="0"/>
          <c:tx>
            <c:strRef>
              <c:f>'Muestra 2'!$A$32</c:f>
              <c:strCache>
                <c:ptCount val="1"/>
                <c:pt idx="0">
                  <c:v>Promedio</c:v>
                </c:pt>
              </c:strCache>
            </c:strRef>
          </c:tx>
          <c:spPr>
            <a:ln w="44450" cap="rnd">
              <a:solidFill>
                <a:srgbClr val="FF0000"/>
              </a:solidFill>
              <a:prstDash val="sysDash"/>
              <a:round/>
            </a:ln>
            <a:effectLst/>
          </c:spPr>
          <c:marker>
            <c:symbol val="none"/>
          </c:marker>
          <c:cat>
            <c:strRef>
              <c:f>'Muestra 2'!$O$1:$V$1</c:f>
              <c:strCache>
                <c:ptCount val="8"/>
                <c:pt idx="0">
                  <c:v>Intensidad de ahumado
</c:v>
                </c:pt>
                <c:pt idx="1">
                  <c:v> Medicinal</c:v>
                </c:pt>
                <c:pt idx="2">
                  <c:v> Terroso</c:v>
                </c:pt>
                <c:pt idx="3">
                  <c:v>Amaderado</c:v>
                </c:pt>
                <c:pt idx="4">
                  <c:v>Café</c:v>
                </c:pt>
                <c:pt idx="5">
                  <c:v>Frutal</c:v>
                </c:pt>
                <c:pt idx="6">
                  <c:v>Vainilla</c:v>
                </c:pt>
                <c:pt idx="7">
                  <c:v>Cereal </c:v>
                </c:pt>
              </c:strCache>
            </c:strRef>
          </c:cat>
          <c:val>
            <c:numRef>
              <c:f>'Muestra 2'!$O$32:$V$32</c:f>
              <c:numCache>
                <c:formatCode>0.00</c:formatCode>
                <c:ptCount val="8"/>
                <c:pt idx="0">
                  <c:v>2.7333333333333334</c:v>
                </c:pt>
                <c:pt idx="1">
                  <c:v>1.9</c:v>
                </c:pt>
                <c:pt idx="2">
                  <c:v>2</c:v>
                </c:pt>
                <c:pt idx="3">
                  <c:v>2.7666666666666666</c:v>
                </c:pt>
                <c:pt idx="4">
                  <c:v>2.1666666666666665</c:v>
                </c:pt>
                <c:pt idx="5">
                  <c:v>1.9</c:v>
                </c:pt>
                <c:pt idx="6">
                  <c:v>2.5333333333333332</c:v>
                </c:pt>
                <c:pt idx="7">
                  <c:v>2.0333333333333332</c:v>
                </c:pt>
              </c:numCache>
            </c:numRef>
          </c:val>
          <c:extLst>
            <c:ext xmlns:c16="http://schemas.microsoft.com/office/drawing/2014/chart" uri="{C3380CC4-5D6E-409C-BE32-E72D297353CC}">
              <c16:uniqueId val="{00000000-2FC9-4A46-BFA1-16AA822483F8}"/>
            </c:ext>
          </c:extLst>
        </c:ser>
        <c:ser>
          <c:idx val="1"/>
          <c:order val="1"/>
          <c:tx>
            <c:strRef>
              <c:f>'Muestra 2'!$A$34</c:f>
              <c:strCache>
                <c:ptCount val="1"/>
                <c:pt idx="0">
                  <c:v>Experto/ Sommelier</c:v>
                </c:pt>
              </c:strCache>
            </c:strRef>
          </c:tx>
          <c:spPr>
            <a:ln w="25400" cap="rnd">
              <a:solidFill>
                <a:srgbClr val="0070C0"/>
              </a:solidFill>
              <a:round/>
            </a:ln>
            <a:effectLst/>
          </c:spPr>
          <c:marker>
            <c:symbol val="none"/>
          </c:marker>
          <c:val>
            <c:numRef>
              <c:f>'Muestra 2'!$O$40:$V$40</c:f>
              <c:numCache>
                <c:formatCode>0.00</c:formatCode>
                <c:ptCount val="8"/>
                <c:pt idx="0">
                  <c:v>2</c:v>
                </c:pt>
                <c:pt idx="1">
                  <c:v>1.5</c:v>
                </c:pt>
                <c:pt idx="2">
                  <c:v>1</c:v>
                </c:pt>
                <c:pt idx="3">
                  <c:v>2.75</c:v>
                </c:pt>
                <c:pt idx="4">
                  <c:v>1.75</c:v>
                </c:pt>
                <c:pt idx="5">
                  <c:v>2</c:v>
                </c:pt>
                <c:pt idx="6">
                  <c:v>2</c:v>
                </c:pt>
                <c:pt idx="7">
                  <c:v>1.5</c:v>
                </c:pt>
              </c:numCache>
            </c:numRef>
          </c:val>
          <c:extLst>
            <c:ext xmlns:c16="http://schemas.microsoft.com/office/drawing/2014/chart" uri="{C3380CC4-5D6E-409C-BE32-E72D297353CC}">
              <c16:uniqueId val="{00000001-2FC9-4A46-BFA1-16AA822483F8}"/>
            </c:ext>
          </c:extLst>
        </c:ser>
        <c:ser>
          <c:idx val="2"/>
          <c:order val="2"/>
          <c:tx>
            <c:strRef>
              <c:f>'Muestra 2'!$A$42</c:f>
              <c:strCache>
                <c:ptCount val="1"/>
                <c:pt idx="0">
                  <c:v>Aficionado al whisky</c:v>
                </c:pt>
              </c:strCache>
            </c:strRef>
          </c:tx>
          <c:spPr>
            <a:ln w="25400" cap="rnd">
              <a:solidFill>
                <a:schemeClr val="accent3"/>
              </a:solidFill>
              <a:round/>
            </a:ln>
            <a:effectLst/>
          </c:spPr>
          <c:marker>
            <c:symbol val="none"/>
          </c:marker>
          <c:val>
            <c:numRef>
              <c:f>'Muestra 2'!$O$51:$V$51</c:f>
              <c:numCache>
                <c:formatCode>0.00</c:formatCode>
                <c:ptCount val="8"/>
                <c:pt idx="0">
                  <c:v>2.5714285714285716</c:v>
                </c:pt>
                <c:pt idx="1">
                  <c:v>1.4285714285714286</c:v>
                </c:pt>
                <c:pt idx="2">
                  <c:v>2.1428571428571428</c:v>
                </c:pt>
                <c:pt idx="3">
                  <c:v>2.5714285714285716</c:v>
                </c:pt>
                <c:pt idx="4">
                  <c:v>1.5714285714285714</c:v>
                </c:pt>
                <c:pt idx="5">
                  <c:v>2.4285714285714284</c:v>
                </c:pt>
                <c:pt idx="6">
                  <c:v>2.2857142857142856</c:v>
                </c:pt>
                <c:pt idx="7">
                  <c:v>2.5714285714285716</c:v>
                </c:pt>
              </c:numCache>
            </c:numRef>
          </c:val>
          <c:extLst>
            <c:ext xmlns:c16="http://schemas.microsoft.com/office/drawing/2014/chart" uri="{C3380CC4-5D6E-409C-BE32-E72D297353CC}">
              <c16:uniqueId val="{00000002-2FC9-4A46-BFA1-16AA822483F8}"/>
            </c:ext>
          </c:extLst>
        </c:ser>
        <c:ser>
          <c:idx val="3"/>
          <c:order val="3"/>
          <c:tx>
            <c:strRef>
              <c:f>'Muestra 2'!$A$53</c:f>
              <c:strCache>
                <c:ptCount val="1"/>
                <c:pt idx="0">
                  <c:v>Consumidor General de Destilados</c:v>
                </c:pt>
              </c:strCache>
            </c:strRef>
          </c:tx>
          <c:spPr>
            <a:ln w="25400" cap="rnd">
              <a:solidFill>
                <a:schemeClr val="accent4"/>
              </a:solidFill>
              <a:round/>
            </a:ln>
            <a:effectLst/>
          </c:spPr>
          <c:marker>
            <c:symbol val="none"/>
          </c:marker>
          <c:val>
            <c:numRef>
              <c:f>'Muestra 2'!$O$74:$V$74</c:f>
              <c:numCache>
                <c:formatCode>0.00</c:formatCode>
                <c:ptCount val="8"/>
                <c:pt idx="0">
                  <c:v>2.9473684210526314</c:v>
                </c:pt>
                <c:pt idx="1">
                  <c:v>2.1578947368421053</c:v>
                </c:pt>
                <c:pt idx="2">
                  <c:v>2.1578947368421053</c:v>
                </c:pt>
                <c:pt idx="3">
                  <c:v>2.8421052631578947</c:v>
                </c:pt>
                <c:pt idx="4">
                  <c:v>2.4736842105263159</c:v>
                </c:pt>
                <c:pt idx="5">
                  <c:v>1.6842105263157894</c:v>
                </c:pt>
                <c:pt idx="6">
                  <c:v>2.736842105263158</c:v>
                </c:pt>
                <c:pt idx="7">
                  <c:v>1.9473684210526316</c:v>
                </c:pt>
              </c:numCache>
            </c:numRef>
          </c:val>
          <c:extLst>
            <c:ext xmlns:c16="http://schemas.microsoft.com/office/drawing/2014/chart" uri="{C3380CC4-5D6E-409C-BE32-E72D297353CC}">
              <c16:uniqueId val="{00000003-2FC9-4A46-BFA1-16AA822483F8}"/>
            </c:ext>
          </c:extLst>
        </c:ser>
        <c:dLbls>
          <c:showLegendKey val="0"/>
          <c:showVal val="0"/>
          <c:showCatName val="0"/>
          <c:showSerName val="0"/>
          <c:showPercent val="0"/>
          <c:showBubbleSize val="0"/>
        </c:dLbls>
        <c:axId val="427634383"/>
        <c:axId val="427630063"/>
      </c:radarChart>
      <c:catAx>
        <c:axId val="427634383"/>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27630063"/>
        <c:crosses val="autoZero"/>
        <c:auto val="1"/>
        <c:lblAlgn val="ctr"/>
        <c:lblOffset val="100"/>
        <c:noMultiLvlLbl val="0"/>
      </c:catAx>
      <c:valAx>
        <c:axId val="4276300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27634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600" b="1"/>
              <a:t>Regusto-Final B1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manualLayout>
          <c:layoutTarget val="inner"/>
          <c:xMode val="edge"/>
          <c:yMode val="edge"/>
          <c:x val="0.15761213417926953"/>
          <c:y val="0.27981955991079405"/>
          <c:w val="0.42820148622456078"/>
          <c:h val="0.60171463027672456"/>
        </c:manualLayout>
      </c:layout>
      <c:radarChart>
        <c:radarStyle val="marker"/>
        <c:varyColors val="0"/>
        <c:ser>
          <c:idx val="0"/>
          <c:order val="0"/>
          <c:tx>
            <c:strRef>
              <c:f>'Muestra 2'!$A$32</c:f>
              <c:strCache>
                <c:ptCount val="1"/>
                <c:pt idx="0">
                  <c:v>Promedio</c:v>
                </c:pt>
              </c:strCache>
            </c:strRef>
          </c:tx>
          <c:spPr>
            <a:ln w="44450" cap="rnd">
              <a:solidFill>
                <a:srgbClr val="FF0000"/>
              </a:solidFill>
              <a:prstDash val="sysDash"/>
              <a:round/>
            </a:ln>
            <a:effectLst/>
          </c:spPr>
          <c:marker>
            <c:symbol val="none"/>
          </c:marker>
          <c:cat>
            <c:strRef>
              <c:f>'Muestra 2'!$X$1:$AD$1</c:f>
              <c:strCache>
                <c:ptCount val="7"/>
                <c:pt idx="0">
                  <c:v>Sensación en boca</c:v>
                </c:pt>
                <c:pt idx="1">
                  <c:v>Duración</c:v>
                </c:pt>
                <c:pt idx="2">
                  <c:v>Ahumado</c:v>
                </c:pt>
                <c:pt idx="3">
                  <c:v>Complejidad</c:v>
                </c:pt>
                <c:pt idx="4">
                  <c:v>Integración del ahumado con otros sabores</c:v>
                </c:pt>
                <c:pt idx="5">
                  <c:v>Armonía entre nariz, paladar y final.</c:v>
                </c:pt>
                <c:pt idx="6">
                  <c:v>Tomabilidad (enfocada en el ahumado)</c:v>
                </c:pt>
              </c:strCache>
            </c:strRef>
          </c:cat>
          <c:val>
            <c:numRef>
              <c:f>'Muestra 2'!$X$32:$AD$32</c:f>
              <c:numCache>
                <c:formatCode>0.00</c:formatCode>
                <c:ptCount val="7"/>
                <c:pt idx="0">
                  <c:v>3.1333333333333333</c:v>
                </c:pt>
                <c:pt idx="1">
                  <c:v>2.7333333333333334</c:v>
                </c:pt>
                <c:pt idx="2">
                  <c:v>2</c:v>
                </c:pt>
                <c:pt idx="3">
                  <c:v>1.8666666666666667</c:v>
                </c:pt>
                <c:pt idx="4">
                  <c:v>3.0333333333333332</c:v>
                </c:pt>
                <c:pt idx="5">
                  <c:v>3.1333333333333333</c:v>
                </c:pt>
                <c:pt idx="6">
                  <c:v>3.1666666666666665</c:v>
                </c:pt>
              </c:numCache>
            </c:numRef>
          </c:val>
          <c:extLst>
            <c:ext xmlns:c16="http://schemas.microsoft.com/office/drawing/2014/chart" uri="{C3380CC4-5D6E-409C-BE32-E72D297353CC}">
              <c16:uniqueId val="{00000000-23A3-4D65-AC60-6EEAA462C526}"/>
            </c:ext>
          </c:extLst>
        </c:ser>
        <c:ser>
          <c:idx val="1"/>
          <c:order val="1"/>
          <c:tx>
            <c:strRef>
              <c:f>'Muestra 2'!$A$34</c:f>
              <c:strCache>
                <c:ptCount val="1"/>
                <c:pt idx="0">
                  <c:v>Experto/ Sommelier</c:v>
                </c:pt>
              </c:strCache>
            </c:strRef>
          </c:tx>
          <c:spPr>
            <a:ln w="25400" cap="rnd">
              <a:solidFill>
                <a:srgbClr val="0070C0"/>
              </a:solidFill>
              <a:round/>
            </a:ln>
            <a:effectLst/>
          </c:spPr>
          <c:marker>
            <c:symbol val="none"/>
          </c:marker>
          <c:val>
            <c:numRef>
              <c:f>'Muestra 2'!$X$40:$AD$40</c:f>
              <c:numCache>
                <c:formatCode>0.00</c:formatCode>
                <c:ptCount val="7"/>
                <c:pt idx="0">
                  <c:v>3</c:v>
                </c:pt>
                <c:pt idx="1">
                  <c:v>2.5</c:v>
                </c:pt>
                <c:pt idx="2">
                  <c:v>1.25</c:v>
                </c:pt>
                <c:pt idx="3">
                  <c:v>1.5</c:v>
                </c:pt>
                <c:pt idx="4">
                  <c:v>3</c:v>
                </c:pt>
                <c:pt idx="5">
                  <c:v>3.5</c:v>
                </c:pt>
                <c:pt idx="6">
                  <c:v>3.25</c:v>
                </c:pt>
              </c:numCache>
            </c:numRef>
          </c:val>
          <c:extLst>
            <c:ext xmlns:c16="http://schemas.microsoft.com/office/drawing/2014/chart" uri="{C3380CC4-5D6E-409C-BE32-E72D297353CC}">
              <c16:uniqueId val="{00000001-23A3-4D65-AC60-6EEAA462C526}"/>
            </c:ext>
          </c:extLst>
        </c:ser>
        <c:ser>
          <c:idx val="2"/>
          <c:order val="2"/>
          <c:tx>
            <c:strRef>
              <c:f>'Muestra 2'!$A$42</c:f>
              <c:strCache>
                <c:ptCount val="1"/>
                <c:pt idx="0">
                  <c:v>Aficionado al whisky</c:v>
                </c:pt>
              </c:strCache>
            </c:strRef>
          </c:tx>
          <c:spPr>
            <a:ln w="25400" cap="rnd">
              <a:solidFill>
                <a:schemeClr val="accent3"/>
              </a:solidFill>
              <a:round/>
            </a:ln>
            <a:effectLst/>
          </c:spPr>
          <c:marker>
            <c:symbol val="none"/>
          </c:marker>
          <c:val>
            <c:numRef>
              <c:f>'Muestra 2'!$X$51:$AD$51</c:f>
              <c:numCache>
                <c:formatCode>0.00</c:formatCode>
                <c:ptCount val="7"/>
                <c:pt idx="0">
                  <c:v>3.1428571428571428</c:v>
                </c:pt>
                <c:pt idx="1">
                  <c:v>2.2857142857142856</c:v>
                </c:pt>
                <c:pt idx="2">
                  <c:v>2</c:v>
                </c:pt>
                <c:pt idx="3">
                  <c:v>1.7142857142857142</c:v>
                </c:pt>
                <c:pt idx="4">
                  <c:v>3</c:v>
                </c:pt>
                <c:pt idx="5">
                  <c:v>2.7142857142857144</c:v>
                </c:pt>
                <c:pt idx="6">
                  <c:v>3</c:v>
                </c:pt>
              </c:numCache>
            </c:numRef>
          </c:val>
          <c:extLst>
            <c:ext xmlns:c16="http://schemas.microsoft.com/office/drawing/2014/chart" uri="{C3380CC4-5D6E-409C-BE32-E72D297353CC}">
              <c16:uniqueId val="{00000002-23A3-4D65-AC60-6EEAA462C526}"/>
            </c:ext>
          </c:extLst>
        </c:ser>
        <c:ser>
          <c:idx val="3"/>
          <c:order val="3"/>
          <c:tx>
            <c:strRef>
              <c:f>'Muestra 2'!$A$53</c:f>
              <c:strCache>
                <c:ptCount val="1"/>
                <c:pt idx="0">
                  <c:v>Consumidor General de Destilados</c:v>
                </c:pt>
              </c:strCache>
            </c:strRef>
          </c:tx>
          <c:spPr>
            <a:ln w="25400" cap="rnd">
              <a:solidFill>
                <a:schemeClr val="accent4"/>
              </a:solidFill>
              <a:round/>
            </a:ln>
            <a:effectLst/>
          </c:spPr>
          <c:marker>
            <c:symbol val="none"/>
          </c:marker>
          <c:val>
            <c:numRef>
              <c:f>'Muestra 2'!$X$74:$AD$74</c:f>
              <c:numCache>
                <c:formatCode>0.00</c:formatCode>
                <c:ptCount val="7"/>
                <c:pt idx="0">
                  <c:v>3.1578947368421053</c:v>
                </c:pt>
                <c:pt idx="1">
                  <c:v>2.9473684210526314</c:v>
                </c:pt>
                <c:pt idx="2">
                  <c:v>2.1578947368421053</c:v>
                </c:pt>
                <c:pt idx="3">
                  <c:v>2</c:v>
                </c:pt>
                <c:pt idx="4">
                  <c:v>3.0526315789473686</c:v>
                </c:pt>
                <c:pt idx="5">
                  <c:v>3.2105263157894739</c:v>
                </c:pt>
                <c:pt idx="6">
                  <c:v>3.2105263157894739</c:v>
                </c:pt>
              </c:numCache>
            </c:numRef>
          </c:val>
          <c:extLst>
            <c:ext xmlns:c16="http://schemas.microsoft.com/office/drawing/2014/chart" uri="{C3380CC4-5D6E-409C-BE32-E72D297353CC}">
              <c16:uniqueId val="{00000003-23A3-4D65-AC60-6EEAA462C526}"/>
            </c:ext>
          </c:extLst>
        </c:ser>
        <c:dLbls>
          <c:showLegendKey val="0"/>
          <c:showVal val="0"/>
          <c:showCatName val="0"/>
          <c:showSerName val="0"/>
          <c:showPercent val="0"/>
          <c:showBubbleSize val="0"/>
        </c:dLbls>
        <c:axId val="427635823"/>
        <c:axId val="427638223"/>
      </c:radarChart>
      <c:catAx>
        <c:axId val="427635823"/>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27638223"/>
        <c:crosses val="autoZero"/>
        <c:auto val="1"/>
        <c:lblAlgn val="ctr"/>
        <c:lblOffset val="100"/>
        <c:noMultiLvlLbl val="0"/>
      </c:catAx>
      <c:valAx>
        <c:axId val="4276382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27635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s-CL"/>
              <a:t>Aroma H76</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CL"/>
        </a:p>
      </c:txPr>
    </c:title>
    <c:autoTitleDeleted val="0"/>
    <c:plotArea>
      <c:layout>
        <c:manualLayout>
          <c:layoutTarget val="inner"/>
          <c:xMode val="edge"/>
          <c:yMode val="edge"/>
          <c:x val="0.13066076115485564"/>
          <c:y val="0.19809346748323126"/>
          <c:w val="0.44360214348206473"/>
          <c:h val="0.73933690580344125"/>
        </c:manualLayout>
      </c:layout>
      <c:radarChart>
        <c:radarStyle val="marker"/>
        <c:varyColors val="0"/>
        <c:ser>
          <c:idx val="0"/>
          <c:order val="0"/>
          <c:tx>
            <c:v>Promedio</c:v>
          </c:tx>
          <c:spPr>
            <a:ln w="44450" cap="rnd">
              <a:solidFill>
                <a:srgbClr val="FF0000"/>
              </a:solidFill>
              <a:prstDash val="sysDash"/>
              <a:round/>
            </a:ln>
            <a:effectLst>
              <a:outerShdw blurRad="57150" dist="19050" dir="5400000" algn="ctr" rotWithShape="0">
                <a:srgbClr val="000000">
                  <a:alpha val="63000"/>
                </a:srgbClr>
              </a:outerShdw>
            </a:effectLst>
          </c:spPr>
          <c:marker>
            <c:symbol val="none"/>
          </c:marker>
          <c:cat>
            <c:strRef>
              <c:f>('Muestra 3'!$D$1:$I$1,'Muestra 3'!$L$1:$M$1,'Muestra 3'!$K$1,'Muestra 3'!$D$1:$I$1,'Muestra 3'!$K$1:$M$1)</c:f>
              <c:strCache>
                <c:ptCount val="18"/>
                <c:pt idx="0">
                  <c:v>Intensidad Ahumado</c:v>
                </c:pt>
                <c:pt idx="1">
                  <c:v> Medicinal</c:v>
                </c:pt>
                <c:pt idx="2">
                  <c:v> Terroso</c:v>
                </c:pt>
                <c:pt idx="3">
                  <c:v>Amaderado</c:v>
                </c:pt>
                <c:pt idx="4">
                  <c:v>Café</c:v>
                </c:pt>
                <c:pt idx="5">
                  <c:v>Otro</c:v>
                </c:pt>
                <c:pt idx="6">
                  <c:v>Vainilla</c:v>
                </c:pt>
                <c:pt idx="7">
                  <c:v>Cereal </c:v>
                </c:pt>
                <c:pt idx="8">
                  <c:v>Frutal</c:v>
                </c:pt>
                <c:pt idx="9">
                  <c:v>Intensidad Ahumado</c:v>
                </c:pt>
                <c:pt idx="10">
                  <c:v> Medicinal</c:v>
                </c:pt>
                <c:pt idx="11">
                  <c:v> Terroso</c:v>
                </c:pt>
                <c:pt idx="12">
                  <c:v>Amaderado</c:v>
                </c:pt>
                <c:pt idx="13">
                  <c:v>Café</c:v>
                </c:pt>
                <c:pt idx="14">
                  <c:v>Otro</c:v>
                </c:pt>
                <c:pt idx="15">
                  <c:v>Frutal</c:v>
                </c:pt>
                <c:pt idx="16">
                  <c:v>Vainilla</c:v>
                </c:pt>
                <c:pt idx="17">
                  <c:v>Cereal </c:v>
                </c:pt>
              </c:strCache>
            </c:strRef>
          </c:cat>
          <c:val>
            <c:numRef>
              <c:f>('Muestra 3'!$D$33:$I$33,'Muestra 3'!$K$33:$M$33)</c:f>
              <c:numCache>
                <c:formatCode>0.00</c:formatCode>
                <c:ptCount val="9"/>
                <c:pt idx="0">
                  <c:v>2.4166666666666665</c:v>
                </c:pt>
                <c:pt idx="1">
                  <c:v>1.25</c:v>
                </c:pt>
                <c:pt idx="2">
                  <c:v>1.1333333333333333</c:v>
                </c:pt>
                <c:pt idx="3">
                  <c:v>1.8</c:v>
                </c:pt>
                <c:pt idx="4">
                  <c:v>0.8666666666666667</c:v>
                </c:pt>
                <c:pt idx="5">
                  <c:v>0.7</c:v>
                </c:pt>
                <c:pt idx="6">
                  <c:v>2.2666666666666666</c:v>
                </c:pt>
                <c:pt idx="7">
                  <c:v>1.9666666666666666</c:v>
                </c:pt>
                <c:pt idx="8">
                  <c:v>2.0666666666666669</c:v>
                </c:pt>
              </c:numCache>
            </c:numRef>
          </c:val>
          <c:extLst>
            <c:ext xmlns:c16="http://schemas.microsoft.com/office/drawing/2014/chart" uri="{C3380CC4-5D6E-409C-BE32-E72D297353CC}">
              <c16:uniqueId val="{00000000-2FB5-42E5-9A72-865810058A8D}"/>
            </c:ext>
          </c:extLst>
        </c:ser>
        <c:ser>
          <c:idx val="1"/>
          <c:order val="1"/>
          <c:tx>
            <c:v>Experto/Sommelier</c:v>
          </c:tx>
          <c:spPr>
            <a:ln w="25400" cap="rnd">
              <a:solidFill>
                <a:srgbClr val="0070C0"/>
              </a:solidFill>
              <a:round/>
            </a:ln>
            <a:effectLst>
              <a:outerShdw blurRad="57150" dist="19050" dir="5400000" algn="ctr" rotWithShape="0">
                <a:srgbClr val="000000">
                  <a:alpha val="63000"/>
                </a:srgbClr>
              </a:outerShdw>
            </a:effectLst>
          </c:spPr>
          <c:marker>
            <c:symbol val="none"/>
          </c:marker>
          <c:val>
            <c:numRef>
              <c:f>('Muestra 3'!$D$41:$I$41,'Muestra 3'!$K$41:$M$41)</c:f>
              <c:numCache>
                <c:formatCode>0.00</c:formatCode>
                <c:ptCount val="9"/>
                <c:pt idx="0">
                  <c:v>1.75</c:v>
                </c:pt>
                <c:pt idx="1">
                  <c:v>0.75</c:v>
                </c:pt>
                <c:pt idx="2">
                  <c:v>0</c:v>
                </c:pt>
                <c:pt idx="3">
                  <c:v>1.5</c:v>
                </c:pt>
                <c:pt idx="4">
                  <c:v>0.5</c:v>
                </c:pt>
                <c:pt idx="5">
                  <c:v>1.25</c:v>
                </c:pt>
                <c:pt idx="6">
                  <c:v>2.75</c:v>
                </c:pt>
                <c:pt idx="7">
                  <c:v>1.75</c:v>
                </c:pt>
                <c:pt idx="8">
                  <c:v>1.25</c:v>
                </c:pt>
              </c:numCache>
            </c:numRef>
          </c:val>
          <c:extLst>
            <c:ext xmlns:c16="http://schemas.microsoft.com/office/drawing/2014/chart" uri="{C3380CC4-5D6E-409C-BE32-E72D297353CC}">
              <c16:uniqueId val="{00000001-2FB5-42E5-9A72-865810058A8D}"/>
            </c:ext>
          </c:extLst>
        </c:ser>
        <c:ser>
          <c:idx val="2"/>
          <c:order val="2"/>
          <c:tx>
            <c:strRef>
              <c:f>'Muestra 3'!$A$43</c:f>
              <c:strCache>
                <c:ptCount val="1"/>
                <c:pt idx="0">
                  <c:v>Aficionado al whisky</c:v>
                </c:pt>
              </c:strCache>
            </c:strRef>
          </c:tx>
          <c:spPr>
            <a:ln w="25400" cap="rnd">
              <a:solidFill>
                <a:schemeClr val="accent3"/>
              </a:solidFill>
              <a:round/>
            </a:ln>
            <a:effectLst>
              <a:outerShdw blurRad="57150" dist="19050" dir="5400000" algn="ctr" rotWithShape="0">
                <a:srgbClr val="000000">
                  <a:alpha val="63000"/>
                </a:srgbClr>
              </a:outerShdw>
            </a:effectLst>
          </c:spPr>
          <c:marker>
            <c:symbol val="none"/>
          </c:marker>
          <c:val>
            <c:numRef>
              <c:f>('Muestra 3'!$D$52:$I$52,'Muestra 3'!$K$52:$M$52)</c:f>
              <c:numCache>
                <c:formatCode>0.00</c:formatCode>
                <c:ptCount val="9"/>
                <c:pt idx="0">
                  <c:v>2.2857142857142856</c:v>
                </c:pt>
                <c:pt idx="1">
                  <c:v>1.1428571428571428</c:v>
                </c:pt>
                <c:pt idx="2">
                  <c:v>0.5714285714285714</c:v>
                </c:pt>
                <c:pt idx="3">
                  <c:v>1</c:v>
                </c:pt>
                <c:pt idx="4">
                  <c:v>0.2857142857142857</c:v>
                </c:pt>
                <c:pt idx="5">
                  <c:v>0.7142857142857143</c:v>
                </c:pt>
                <c:pt idx="6">
                  <c:v>2.5714285714285716</c:v>
                </c:pt>
                <c:pt idx="7">
                  <c:v>1.8571428571428572</c:v>
                </c:pt>
                <c:pt idx="8">
                  <c:v>1.8571428571428572</c:v>
                </c:pt>
              </c:numCache>
            </c:numRef>
          </c:val>
          <c:extLst>
            <c:ext xmlns:c16="http://schemas.microsoft.com/office/drawing/2014/chart" uri="{C3380CC4-5D6E-409C-BE32-E72D297353CC}">
              <c16:uniqueId val="{00000002-2FB5-42E5-9A72-865810058A8D}"/>
            </c:ext>
          </c:extLst>
        </c:ser>
        <c:ser>
          <c:idx val="3"/>
          <c:order val="3"/>
          <c:tx>
            <c:strRef>
              <c:f>'Muestra 3'!$A$54</c:f>
              <c:strCache>
                <c:ptCount val="1"/>
                <c:pt idx="0">
                  <c:v>Consumidor General de Destilados</c:v>
                </c:pt>
              </c:strCache>
            </c:strRef>
          </c:tx>
          <c:spPr>
            <a:ln w="25400" cap="rnd">
              <a:solidFill>
                <a:schemeClr val="accent4"/>
              </a:solidFill>
              <a:prstDash val="solid"/>
              <a:round/>
            </a:ln>
            <a:effectLst>
              <a:outerShdw blurRad="57150" dist="19050" dir="5400000" algn="ctr" rotWithShape="0">
                <a:srgbClr val="000000">
                  <a:alpha val="63000"/>
                </a:srgbClr>
              </a:outerShdw>
            </a:effectLst>
          </c:spPr>
          <c:marker>
            <c:symbol val="none"/>
          </c:marker>
          <c:val>
            <c:numRef>
              <c:f>('Muestra 3'!$D$76:$I$76,'Muestra 3'!$K$76:$M$76)</c:f>
              <c:numCache>
                <c:formatCode>0.00</c:formatCode>
                <c:ptCount val="9"/>
                <c:pt idx="0">
                  <c:v>2.6052631578947367</c:v>
                </c:pt>
                <c:pt idx="1">
                  <c:v>1.3947368421052631</c:v>
                </c:pt>
                <c:pt idx="2">
                  <c:v>1.5789473684210527</c:v>
                </c:pt>
                <c:pt idx="3">
                  <c:v>2.1578947368421053</c:v>
                </c:pt>
                <c:pt idx="4">
                  <c:v>1.1578947368421053</c:v>
                </c:pt>
                <c:pt idx="5">
                  <c:v>0.57894736842105265</c:v>
                </c:pt>
                <c:pt idx="6">
                  <c:v>2.0526315789473686</c:v>
                </c:pt>
                <c:pt idx="7">
                  <c:v>2.0526315789473686</c:v>
                </c:pt>
                <c:pt idx="8">
                  <c:v>2.3157894736842106</c:v>
                </c:pt>
              </c:numCache>
            </c:numRef>
          </c:val>
          <c:extLst>
            <c:ext xmlns:c16="http://schemas.microsoft.com/office/drawing/2014/chart" uri="{C3380CC4-5D6E-409C-BE32-E72D297353CC}">
              <c16:uniqueId val="{00000003-2FB5-42E5-9A72-865810058A8D}"/>
            </c:ext>
          </c:extLst>
        </c:ser>
        <c:dLbls>
          <c:showLegendKey val="0"/>
          <c:showVal val="0"/>
          <c:showCatName val="0"/>
          <c:showSerName val="0"/>
          <c:showPercent val="0"/>
          <c:showBubbleSize val="0"/>
        </c:dLbls>
        <c:axId val="7944911"/>
        <c:axId val="7945391"/>
      </c:radarChart>
      <c:catAx>
        <c:axId val="7944911"/>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7945391"/>
        <c:crosses val="autoZero"/>
        <c:auto val="1"/>
        <c:lblAlgn val="ctr"/>
        <c:lblOffset val="100"/>
        <c:noMultiLvlLbl val="0"/>
      </c:catAx>
      <c:valAx>
        <c:axId val="79453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7944911"/>
        <c:crosses val="autoZero"/>
        <c:crossBetween val="between"/>
      </c:valAx>
      <c:spPr>
        <a:noFill/>
        <a:ln>
          <a:noFill/>
        </a:ln>
        <a:effectLst/>
      </c:spPr>
    </c:plotArea>
    <c:legend>
      <c:legendPos val="r"/>
      <c:layout>
        <c:manualLayout>
          <c:xMode val="edge"/>
          <c:yMode val="edge"/>
          <c:x val="0.67213757655293094"/>
          <c:y val="0.32361986001749782"/>
          <c:w val="0.31119575678040245"/>
          <c:h val="0.400908428113152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s-CL" sz="1600" b="1"/>
              <a:t>Sabor H76</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manualLayout>
          <c:layoutTarget val="inner"/>
          <c:xMode val="edge"/>
          <c:yMode val="edge"/>
          <c:x val="0.1496314790254315"/>
          <c:y val="0.22248801780212257"/>
          <c:w val="0.43386077921061456"/>
          <c:h val="0.7211365970558028"/>
        </c:manualLayout>
      </c:layout>
      <c:radarChart>
        <c:radarStyle val="marker"/>
        <c:varyColors val="0"/>
        <c:ser>
          <c:idx val="0"/>
          <c:order val="0"/>
          <c:tx>
            <c:strRef>
              <c:f>'Muestra 3'!$A$33</c:f>
              <c:strCache>
                <c:ptCount val="1"/>
                <c:pt idx="0">
                  <c:v>Promedio</c:v>
                </c:pt>
              </c:strCache>
            </c:strRef>
          </c:tx>
          <c:spPr>
            <a:ln w="44450" cap="rnd">
              <a:solidFill>
                <a:srgbClr val="FF0000"/>
              </a:solidFill>
              <a:prstDash val="sysDash"/>
              <a:round/>
            </a:ln>
            <a:effectLst/>
          </c:spPr>
          <c:marker>
            <c:symbol val="none"/>
          </c:marker>
          <c:cat>
            <c:strRef>
              <c:f>'Muestra 3'!$O$1:$V$1</c:f>
              <c:strCache>
                <c:ptCount val="8"/>
                <c:pt idx="0">
                  <c:v>Intensidad de ahumado
</c:v>
                </c:pt>
                <c:pt idx="1">
                  <c:v> Medicinal</c:v>
                </c:pt>
                <c:pt idx="2">
                  <c:v> Terroso</c:v>
                </c:pt>
                <c:pt idx="3">
                  <c:v>Amaderado</c:v>
                </c:pt>
                <c:pt idx="4">
                  <c:v>Café</c:v>
                </c:pt>
                <c:pt idx="5">
                  <c:v>Frutal</c:v>
                </c:pt>
                <c:pt idx="6">
                  <c:v>Vainilla</c:v>
                </c:pt>
                <c:pt idx="7">
                  <c:v>Cereal </c:v>
                </c:pt>
              </c:strCache>
            </c:strRef>
          </c:cat>
          <c:val>
            <c:numRef>
              <c:f>'Muestra 3'!$O$33:$V$33</c:f>
              <c:numCache>
                <c:formatCode>0.00</c:formatCode>
                <c:ptCount val="8"/>
                <c:pt idx="0">
                  <c:v>2.5333333333333332</c:v>
                </c:pt>
                <c:pt idx="1">
                  <c:v>2.0666666666666669</c:v>
                </c:pt>
                <c:pt idx="2">
                  <c:v>1.7666666666666666</c:v>
                </c:pt>
                <c:pt idx="3">
                  <c:v>2.2999999999999998</c:v>
                </c:pt>
                <c:pt idx="4">
                  <c:v>1.7</c:v>
                </c:pt>
                <c:pt idx="5">
                  <c:v>1.9833333333333334</c:v>
                </c:pt>
                <c:pt idx="6">
                  <c:v>1.9666666666666666</c:v>
                </c:pt>
                <c:pt idx="7">
                  <c:v>2.1666666666666665</c:v>
                </c:pt>
              </c:numCache>
            </c:numRef>
          </c:val>
          <c:extLst>
            <c:ext xmlns:c16="http://schemas.microsoft.com/office/drawing/2014/chart" uri="{C3380CC4-5D6E-409C-BE32-E72D297353CC}">
              <c16:uniqueId val="{00000000-01A2-46D6-AA0F-BB3BF3FAABD6}"/>
            </c:ext>
          </c:extLst>
        </c:ser>
        <c:ser>
          <c:idx val="1"/>
          <c:order val="1"/>
          <c:tx>
            <c:strRef>
              <c:f>'Muestra 3'!$A$35</c:f>
              <c:strCache>
                <c:ptCount val="1"/>
                <c:pt idx="0">
                  <c:v>Experto/ Sommelier</c:v>
                </c:pt>
              </c:strCache>
            </c:strRef>
          </c:tx>
          <c:spPr>
            <a:ln w="25400" cap="rnd">
              <a:solidFill>
                <a:srgbClr val="0070C0"/>
              </a:solidFill>
              <a:round/>
            </a:ln>
            <a:effectLst/>
          </c:spPr>
          <c:marker>
            <c:symbol val="none"/>
          </c:marker>
          <c:val>
            <c:numRef>
              <c:f>'Muestra 3'!$O$41:$V$41</c:f>
              <c:numCache>
                <c:formatCode>0.00</c:formatCode>
                <c:ptCount val="8"/>
                <c:pt idx="0">
                  <c:v>2.5</c:v>
                </c:pt>
                <c:pt idx="1">
                  <c:v>1.5</c:v>
                </c:pt>
                <c:pt idx="2">
                  <c:v>1</c:v>
                </c:pt>
                <c:pt idx="3">
                  <c:v>2</c:v>
                </c:pt>
                <c:pt idx="4">
                  <c:v>1.5</c:v>
                </c:pt>
                <c:pt idx="5">
                  <c:v>2.125</c:v>
                </c:pt>
                <c:pt idx="6">
                  <c:v>1.75</c:v>
                </c:pt>
                <c:pt idx="7">
                  <c:v>1.5</c:v>
                </c:pt>
              </c:numCache>
            </c:numRef>
          </c:val>
          <c:extLst>
            <c:ext xmlns:c16="http://schemas.microsoft.com/office/drawing/2014/chart" uri="{C3380CC4-5D6E-409C-BE32-E72D297353CC}">
              <c16:uniqueId val="{00000001-01A2-46D6-AA0F-BB3BF3FAABD6}"/>
            </c:ext>
          </c:extLst>
        </c:ser>
        <c:ser>
          <c:idx val="2"/>
          <c:order val="2"/>
          <c:tx>
            <c:strRef>
              <c:f>'Muestra 3'!$A$43</c:f>
              <c:strCache>
                <c:ptCount val="1"/>
                <c:pt idx="0">
                  <c:v>Aficionado al whisky</c:v>
                </c:pt>
              </c:strCache>
            </c:strRef>
          </c:tx>
          <c:spPr>
            <a:ln w="25400" cap="rnd">
              <a:solidFill>
                <a:schemeClr val="accent3"/>
              </a:solidFill>
              <a:round/>
            </a:ln>
            <a:effectLst/>
          </c:spPr>
          <c:marker>
            <c:symbol val="none"/>
          </c:marker>
          <c:val>
            <c:numRef>
              <c:f>'Muestra 3'!$O$52:$V$52</c:f>
              <c:numCache>
                <c:formatCode>0.00</c:formatCode>
                <c:ptCount val="8"/>
                <c:pt idx="0">
                  <c:v>2.4285714285714284</c:v>
                </c:pt>
                <c:pt idx="1">
                  <c:v>1.7142857142857142</c:v>
                </c:pt>
                <c:pt idx="2">
                  <c:v>1.4285714285714286</c:v>
                </c:pt>
                <c:pt idx="3">
                  <c:v>1.7142857142857142</c:v>
                </c:pt>
                <c:pt idx="4">
                  <c:v>1.5714285714285714</c:v>
                </c:pt>
                <c:pt idx="5">
                  <c:v>2</c:v>
                </c:pt>
                <c:pt idx="6">
                  <c:v>1.5714285714285714</c:v>
                </c:pt>
                <c:pt idx="7">
                  <c:v>2.4285714285714284</c:v>
                </c:pt>
              </c:numCache>
            </c:numRef>
          </c:val>
          <c:extLst>
            <c:ext xmlns:c16="http://schemas.microsoft.com/office/drawing/2014/chart" uri="{C3380CC4-5D6E-409C-BE32-E72D297353CC}">
              <c16:uniqueId val="{00000002-01A2-46D6-AA0F-BB3BF3FAABD6}"/>
            </c:ext>
          </c:extLst>
        </c:ser>
        <c:ser>
          <c:idx val="3"/>
          <c:order val="3"/>
          <c:tx>
            <c:strRef>
              <c:f>'Muestra 3'!$A$54</c:f>
              <c:strCache>
                <c:ptCount val="1"/>
                <c:pt idx="0">
                  <c:v>Consumidor General de Destilados</c:v>
                </c:pt>
              </c:strCache>
            </c:strRef>
          </c:tx>
          <c:spPr>
            <a:ln w="25400" cap="rnd">
              <a:solidFill>
                <a:schemeClr val="accent4"/>
              </a:solidFill>
              <a:round/>
            </a:ln>
            <a:effectLst/>
          </c:spPr>
          <c:marker>
            <c:symbol val="none"/>
          </c:marker>
          <c:val>
            <c:numRef>
              <c:f>'Muestra 3'!$O$76:$V$76</c:f>
              <c:numCache>
                <c:formatCode>0.00</c:formatCode>
                <c:ptCount val="8"/>
                <c:pt idx="0">
                  <c:v>2.5789473684210527</c:v>
                </c:pt>
                <c:pt idx="1">
                  <c:v>2.3157894736842106</c:v>
                </c:pt>
                <c:pt idx="2">
                  <c:v>2.0526315789473686</c:v>
                </c:pt>
                <c:pt idx="3">
                  <c:v>2.5789473684210527</c:v>
                </c:pt>
                <c:pt idx="4">
                  <c:v>1.7894736842105263</c:v>
                </c:pt>
                <c:pt idx="5">
                  <c:v>1.9473684210526316</c:v>
                </c:pt>
                <c:pt idx="6">
                  <c:v>2.1578947368421053</c:v>
                </c:pt>
                <c:pt idx="7">
                  <c:v>2.2105263157894739</c:v>
                </c:pt>
              </c:numCache>
            </c:numRef>
          </c:val>
          <c:extLst>
            <c:ext xmlns:c16="http://schemas.microsoft.com/office/drawing/2014/chart" uri="{C3380CC4-5D6E-409C-BE32-E72D297353CC}">
              <c16:uniqueId val="{00000003-01A2-46D6-AA0F-BB3BF3FAABD6}"/>
            </c:ext>
          </c:extLst>
        </c:ser>
        <c:dLbls>
          <c:showLegendKey val="0"/>
          <c:showVal val="0"/>
          <c:showCatName val="0"/>
          <c:showSerName val="0"/>
          <c:showPercent val="0"/>
          <c:showBubbleSize val="0"/>
        </c:dLbls>
        <c:axId val="427634383"/>
        <c:axId val="427630063"/>
      </c:radarChart>
      <c:catAx>
        <c:axId val="427634383"/>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27630063"/>
        <c:crosses val="autoZero"/>
        <c:auto val="1"/>
        <c:lblAlgn val="ctr"/>
        <c:lblOffset val="100"/>
        <c:noMultiLvlLbl val="0"/>
      </c:catAx>
      <c:valAx>
        <c:axId val="4276300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27634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600" b="1"/>
              <a:t>Regusto-Final H76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manualLayout>
          <c:layoutTarget val="inner"/>
          <c:xMode val="edge"/>
          <c:yMode val="edge"/>
          <c:x val="0.15761213417926953"/>
          <c:y val="0.27981955991079405"/>
          <c:w val="0.42820148622456078"/>
          <c:h val="0.60171463027672456"/>
        </c:manualLayout>
      </c:layout>
      <c:radarChart>
        <c:radarStyle val="marker"/>
        <c:varyColors val="0"/>
        <c:ser>
          <c:idx val="0"/>
          <c:order val="0"/>
          <c:tx>
            <c:strRef>
              <c:f>'Muestra 3'!$A$33</c:f>
              <c:strCache>
                <c:ptCount val="1"/>
                <c:pt idx="0">
                  <c:v>Promedio</c:v>
                </c:pt>
              </c:strCache>
            </c:strRef>
          </c:tx>
          <c:spPr>
            <a:ln w="44450" cap="rnd">
              <a:solidFill>
                <a:srgbClr val="FF0000"/>
              </a:solidFill>
              <a:prstDash val="sysDash"/>
              <a:round/>
            </a:ln>
            <a:effectLst/>
          </c:spPr>
          <c:marker>
            <c:symbol val="none"/>
          </c:marker>
          <c:cat>
            <c:strRef>
              <c:f>'Muestra 3'!$X$1:$AD$1</c:f>
              <c:strCache>
                <c:ptCount val="7"/>
                <c:pt idx="0">
                  <c:v>Sensación en boca</c:v>
                </c:pt>
                <c:pt idx="1">
                  <c:v>Duración</c:v>
                </c:pt>
                <c:pt idx="2">
                  <c:v>Ahumado</c:v>
                </c:pt>
                <c:pt idx="3">
                  <c:v>Complejidad</c:v>
                </c:pt>
                <c:pt idx="4">
                  <c:v>Integración del ahumado con otros sabores</c:v>
                </c:pt>
                <c:pt idx="5">
                  <c:v>Armonía entre nariz, paladar y final.</c:v>
                </c:pt>
                <c:pt idx="6">
                  <c:v>Tomabilidad (enfocada en el ahumado)</c:v>
                </c:pt>
              </c:strCache>
            </c:strRef>
          </c:cat>
          <c:val>
            <c:numRef>
              <c:f>'Muestra 3'!$X$33:$AD$33</c:f>
              <c:numCache>
                <c:formatCode>0.00</c:formatCode>
                <c:ptCount val="7"/>
                <c:pt idx="0">
                  <c:v>2.8666666666666667</c:v>
                </c:pt>
                <c:pt idx="1">
                  <c:v>2.2000000000000002</c:v>
                </c:pt>
                <c:pt idx="2">
                  <c:v>1.6</c:v>
                </c:pt>
                <c:pt idx="3">
                  <c:v>1.7666666666666666</c:v>
                </c:pt>
                <c:pt idx="4">
                  <c:v>3.3</c:v>
                </c:pt>
                <c:pt idx="5">
                  <c:v>3.1</c:v>
                </c:pt>
                <c:pt idx="6">
                  <c:v>3.2333333333333334</c:v>
                </c:pt>
              </c:numCache>
            </c:numRef>
          </c:val>
          <c:extLst>
            <c:ext xmlns:c16="http://schemas.microsoft.com/office/drawing/2014/chart" uri="{C3380CC4-5D6E-409C-BE32-E72D297353CC}">
              <c16:uniqueId val="{00000000-43F5-4511-ABA6-EA94A54DB328}"/>
            </c:ext>
          </c:extLst>
        </c:ser>
        <c:ser>
          <c:idx val="1"/>
          <c:order val="1"/>
          <c:tx>
            <c:strRef>
              <c:f>'Muestra 3'!$A$35</c:f>
              <c:strCache>
                <c:ptCount val="1"/>
                <c:pt idx="0">
                  <c:v>Experto/ Sommelier</c:v>
                </c:pt>
              </c:strCache>
            </c:strRef>
          </c:tx>
          <c:spPr>
            <a:ln w="25400" cap="rnd">
              <a:solidFill>
                <a:srgbClr val="0070C0"/>
              </a:solidFill>
              <a:round/>
            </a:ln>
            <a:effectLst/>
          </c:spPr>
          <c:marker>
            <c:symbol val="none"/>
          </c:marker>
          <c:val>
            <c:numRef>
              <c:f>'Muestra 3'!$X$41:$AD$41</c:f>
              <c:numCache>
                <c:formatCode>0.00</c:formatCode>
                <c:ptCount val="7"/>
                <c:pt idx="0">
                  <c:v>2.5</c:v>
                </c:pt>
                <c:pt idx="1">
                  <c:v>2</c:v>
                </c:pt>
                <c:pt idx="2">
                  <c:v>1.25</c:v>
                </c:pt>
                <c:pt idx="3">
                  <c:v>1</c:v>
                </c:pt>
                <c:pt idx="4">
                  <c:v>3</c:v>
                </c:pt>
                <c:pt idx="5">
                  <c:v>2.75</c:v>
                </c:pt>
                <c:pt idx="6">
                  <c:v>3</c:v>
                </c:pt>
              </c:numCache>
            </c:numRef>
          </c:val>
          <c:extLst>
            <c:ext xmlns:c16="http://schemas.microsoft.com/office/drawing/2014/chart" uri="{C3380CC4-5D6E-409C-BE32-E72D297353CC}">
              <c16:uniqueId val="{00000001-43F5-4511-ABA6-EA94A54DB328}"/>
            </c:ext>
          </c:extLst>
        </c:ser>
        <c:ser>
          <c:idx val="2"/>
          <c:order val="2"/>
          <c:tx>
            <c:strRef>
              <c:f>'Muestra 3'!$A$43</c:f>
              <c:strCache>
                <c:ptCount val="1"/>
                <c:pt idx="0">
                  <c:v>Aficionado al whisky</c:v>
                </c:pt>
              </c:strCache>
            </c:strRef>
          </c:tx>
          <c:spPr>
            <a:ln w="25400" cap="rnd">
              <a:solidFill>
                <a:schemeClr val="accent3"/>
              </a:solidFill>
              <a:round/>
            </a:ln>
            <a:effectLst/>
          </c:spPr>
          <c:marker>
            <c:symbol val="none"/>
          </c:marker>
          <c:val>
            <c:numRef>
              <c:f>'Muestra 3'!$X$52:$AD$52</c:f>
              <c:numCache>
                <c:formatCode>0.00</c:formatCode>
                <c:ptCount val="7"/>
                <c:pt idx="0">
                  <c:v>2.1428571428571428</c:v>
                </c:pt>
                <c:pt idx="1">
                  <c:v>1</c:v>
                </c:pt>
                <c:pt idx="2">
                  <c:v>1</c:v>
                </c:pt>
                <c:pt idx="3">
                  <c:v>1.1428571428571428</c:v>
                </c:pt>
                <c:pt idx="4">
                  <c:v>2.7142857142857144</c:v>
                </c:pt>
                <c:pt idx="5">
                  <c:v>2</c:v>
                </c:pt>
                <c:pt idx="6">
                  <c:v>2.4285714285714284</c:v>
                </c:pt>
              </c:numCache>
            </c:numRef>
          </c:val>
          <c:extLst>
            <c:ext xmlns:c16="http://schemas.microsoft.com/office/drawing/2014/chart" uri="{C3380CC4-5D6E-409C-BE32-E72D297353CC}">
              <c16:uniqueId val="{00000002-43F5-4511-ABA6-EA94A54DB328}"/>
            </c:ext>
          </c:extLst>
        </c:ser>
        <c:ser>
          <c:idx val="3"/>
          <c:order val="3"/>
          <c:tx>
            <c:strRef>
              <c:f>'Muestra 3'!$A$54</c:f>
              <c:strCache>
                <c:ptCount val="1"/>
                <c:pt idx="0">
                  <c:v>Consumidor General de Destilados</c:v>
                </c:pt>
              </c:strCache>
            </c:strRef>
          </c:tx>
          <c:spPr>
            <a:ln w="25400" cap="rnd">
              <a:solidFill>
                <a:schemeClr val="accent4"/>
              </a:solidFill>
              <a:round/>
            </a:ln>
            <a:effectLst/>
          </c:spPr>
          <c:marker>
            <c:symbol val="none"/>
          </c:marker>
          <c:val>
            <c:numRef>
              <c:f>'Muestra 3'!$X$76:$AD$76</c:f>
              <c:numCache>
                <c:formatCode>0.00</c:formatCode>
                <c:ptCount val="7"/>
                <c:pt idx="0">
                  <c:v>3.2105263157894739</c:v>
                </c:pt>
                <c:pt idx="1">
                  <c:v>2.6842105263157894</c:v>
                </c:pt>
                <c:pt idx="2">
                  <c:v>1.8947368421052631</c:v>
                </c:pt>
                <c:pt idx="3">
                  <c:v>2.1578947368421053</c:v>
                </c:pt>
                <c:pt idx="4">
                  <c:v>3.5789473684210527</c:v>
                </c:pt>
                <c:pt idx="5">
                  <c:v>3.5789473684210527</c:v>
                </c:pt>
                <c:pt idx="6">
                  <c:v>3.5789473684210527</c:v>
                </c:pt>
              </c:numCache>
            </c:numRef>
          </c:val>
          <c:extLst>
            <c:ext xmlns:c16="http://schemas.microsoft.com/office/drawing/2014/chart" uri="{C3380CC4-5D6E-409C-BE32-E72D297353CC}">
              <c16:uniqueId val="{00000003-43F5-4511-ABA6-EA94A54DB328}"/>
            </c:ext>
          </c:extLst>
        </c:ser>
        <c:dLbls>
          <c:showLegendKey val="0"/>
          <c:showVal val="0"/>
          <c:showCatName val="0"/>
          <c:showSerName val="0"/>
          <c:showPercent val="0"/>
          <c:showBubbleSize val="0"/>
        </c:dLbls>
        <c:axId val="427635823"/>
        <c:axId val="427638223"/>
      </c:radarChart>
      <c:catAx>
        <c:axId val="427635823"/>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27638223"/>
        <c:crosses val="autoZero"/>
        <c:auto val="1"/>
        <c:lblAlgn val="ctr"/>
        <c:lblOffset val="100"/>
        <c:noMultiLvlLbl val="0"/>
      </c:catAx>
      <c:valAx>
        <c:axId val="4276382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27635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s-CL"/>
              <a:t>Aroma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CL"/>
        </a:p>
      </c:txPr>
    </c:title>
    <c:autoTitleDeleted val="0"/>
    <c:plotArea>
      <c:layout>
        <c:manualLayout>
          <c:layoutTarget val="inner"/>
          <c:xMode val="edge"/>
          <c:yMode val="edge"/>
          <c:x val="0.13066076115485564"/>
          <c:y val="0.19809346748323126"/>
          <c:w val="0.44360214348206473"/>
          <c:h val="0.73933690580344125"/>
        </c:manualLayout>
      </c:layout>
      <c:radarChart>
        <c:radarStyle val="marker"/>
        <c:varyColors val="0"/>
        <c:ser>
          <c:idx val="0"/>
          <c:order val="0"/>
          <c:tx>
            <c:v>Promedio</c:v>
          </c:tx>
          <c:spPr>
            <a:ln w="44450" cap="rnd">
              <a:solidFill>
                <a:srgbClr val="FF0000"/>
              </a:solidFill>
              <a:prstDash val="sysDash"/>
              <a:round/>
            </a:ln>
            <a:effectLst>
              <a:outerShdw blurRad="57150" dist="19050" dir="5400000" algn="ctr" rotWithShape="0">
                <a:srgbClr val="000000">
                  <a:alpha val="63000"/>
                </a:srgbClr>
              </a:outerShdw>
            </a:effectLst>
          </c:spPr>
          <c:marker>
            <c:symbol val="none"/>
          </c:marker>
          <c:cat>
            <c:strRef>
              <c:f>('Muestra 4'!$D$1:$I$1,'Muestra 4'!$L$1:$M$1,'Muestra 4'!$K$1,'Muestra 4'!$D$1:$I$1,'Muestra 4'!$K$1:$M$1)</c:f>
              <c:strCache>
                <c:ptCount val="18"/>
                <c:pt idx="0">
                  <c:v>Intensidad Ahumado</c:v>
                </c:pt>
                <c:pt idx="1">
                  <c:v> Medicinal</c:v>
                </c:pt>
                <c:pt idx="2">
                  <c:v> Terroso</c:v>
                </c:pt>
                <c:pt idx="3">
                  <c:v>Amaderado</c:v>
                </c:pt>
                <c:pt idx="4">
                  <c:v>Café</c:v>
                </c:pt>
                <c:pt idx="5">
                  <c:v>Otro</c:v>
                </c:pt>
                <c:pt idx="6">
                  <c:v>Vainilla</c:v>
                </c:pt>
                <c:pt idx="7">
                  <c:v>Cereal </c:v>
                </c:pt>
                <c:pt idx="8">
                  <c:v>Frutal</c:v>
                </c:pt>
                <c:pt idx="9">
                  <c:v>Intensidad Ahumado</c:v>
                </c:pt>
                <c:pt idx="10">
                  <c:v> Medicinal</c:v>
                </c:pt>
                <c:pt idx="11">
                  <c:v> Terroso</c:v>
                </c:pt>
                <c:pt idx="12">
                  <c:v>Amaderado</c:v>
                </c:pt>
                <c:pt idx="13">
                  <c:v>Café</c:v>
                </c:pt>
                <c:pt idx="14">
                  <c:v>Otro</c:v>
                </c:pt>
                <c:pt idx="15">
                  <c:v>Frutal</c:v>
                </c:pt>
                <c:pt idx="16">
                  <c:v>Vainilla</c:v>
                </c:pt>
                <c:pt idx="17">
                  <c:v>Cereal </c:v>
                </c:pt>
              </c:strCache>
            </c:strRef>
          </c:cat>
          <c:val>
            <c:numRef>
              <c:f>('Muestra 4'!$D$33:$I$33,'Muestra 4'!$K$33:$M$33)</c:f>
              <c:numCache>
                <c:formatCode>0.00</c:formatCode>
                <c:ptCount val="9"/>
                <c:pt idx="0">
                  <c:v>2.6</c:v>
                </c:pt>
                <c:pt idx="1">
                  <c:v>1.5166666666666666</c:v>
                </c:pt>
                <c:pt idx="2">
                  <c:v>1.2</c:v>
                </c:pt>
                <c:pt idx="3">
                  <c:v>2.0833333333333335</c:v>
                </c:pt>
                <c:pt idx="4">
                  <c:v>1.2166666666666666</c:v>
                </c:pt>
                <c:pt idx="5">
                  <c:v>0.9</c:v>
                </c:pt>
                <c:pt idx="6">
                  <c:v>2.4333333333333331</c:v>
                </c:pt>
                <c:pt idx="7">
                  <c:v>2.1333333333333333</c:v>
                </c:pt>
                <c:pt idx="8">
                  <c:v>1.9333333333333333</c:v>
                </c:pt>
              </c:numCache>
            </c:numRef>
          </c:val>
          <c:extLst>
            <c:ext xmlns:c16="http://schemas.microsoft.com/office/drawing/2014/chart" uri="{C3380CC4-5D6E-409C-BE32-E72D297353CC}">
              <c16:uniqueId val="{00000000-3872-4B2C-893D-0B73A45C7DD0}"/>
            </c:ext>
          </c:extLst>
        </c:ser>
        <c:ser>
          <c:idx val="1"/>
          <c:order val="1"/>
          <c:tx>
            <c:v>Experto/Sommelier</c:v>
          </c:tx>
          <c:spPr>
            <a:ln w="25400" cap="rnd">
              <a:solidFill>
                <a:srgbClr val="0070C0"/>
              </a:solidFill>
              <a:round/>
            </a:ln>
            <a:effectLst>
              <a:outerShdw blurRad="57150" dist="19050" dir="5400000" algn="ctr" rotWithShape="0">
                <a:srgbClr val="000000">
                  <a:alpha val="63000"/>
                </a:srgbClr>
              </a:outerShdw>
            </a:effectLst>
          </c:spPr>
          <c:marker>
            <c:symbol val="none"/>
          </c:marker>
          <c:val>
            <c:numRef>
              <c:f>('Muestra 4'!$D$41:$I$41,'Muestra 4'!$K$41:$M$41)</c:f>
              <c:numCache>
                <c:formatCode>0.00</c:formatCode>
                <c:ptCount val="9"/>
                <c:pt idx="0">
                  <c:v>2.375</c:v>
                </c:pt>
                <c:pt idx="1">
                  <c:v>1.875</c:v>
                </c:pt>
                <c:pt idx="2">
                  <c:v>0.25</c:v>
                </c:pt>
                <c:pt idx="3">
                  <c:v>2.25</c:v>
                </c:pt>
                <c:pt idx="4">
                  <c:v>0.5</c:v>
                </c:pt>
                <c:pt idx="5">
                  <c:v>1.25</c:v>
                </c:pt>
                <c:pt idx="6">
                  <c:v>2</c:v>
                </c:pt>
                <c:pt idx="7">
                  <c:v>1.25</c:v>
                </c:pt>
                <c:pt idx="8">
                  <c:v>1.25</c:v>
                </c:pt>
              </c:numCache>
            </c:numRef>
          </c:val>
          <c:extLst>
            <c:ext xmlns:c16="http://schemas.microsoft.com/office/drawing/2014/chart" uri="{C3380CC4-5D6E-409C-BE32-E72D297353CC}">
              <c16:uniqueId val="{00000001-3872-4B2C-893D-0B73A45C7DD0}"/>
            </c:ext>
          </c:extLst>
        </c:ser>
        <c:ser>
          <c:idx val="2"/>
          <c:order val="2"/>
          <c:tx>
            <c:strRef>
              <c:f>'Muestra 4'!$A$43</c:f>
              <c:strCache>
                <c:ptCount val="1"/>
                <c:pt idx="0">
                  <c:v>Aficionado al whisky</c:v>
                </c:pt>
              </c:strCache>
            </c:strRef>
          </c:tx>
          <c:spPr>
            <a:ln w="25400" cap="rnd">
              <a:solidFill>
                <a:schemeClr val="accent3"/>
              </a:solidFill>
              <a:round/>
            </a:ln>
            <a:effectLst>
              <a:outerShdw blurRad="57150" dist="19050" dir="5400000" algn="ctr" rotWithShape="0">
                <a:srgbClr val="000000">
                  <a:alpha val="63000"/>
                </a:srgbClr>
              </a:outerShdw>
            </a:effectLst>
          </c:spPr>
          <c:marker>
            <c:symbol val="none"/>
          </c:marker>
          <c:val>
            <c:numRef>
              <c:f>('Muestra 4'!$D$52:$I$52,'Muestra 4'!$K$52:$M$52)</c:f>
              <c:numCache>
                <c:formatCode>0.00</c:formatCode>
                <c:ptCount val="9"/>
                <c:pt idx="0">
                  <c:v>2.4285714285714284</c:v>
                </c:pt>
                <c:pt idx="1">
                  <c:v>0.2857142857142857</c:v>
                </c:pt>
                <c:pt idx="2">
                  <c:v>0.5714285714285714</c:v>
                </c:pt>
                <c:pt idx="3">
                  <c:v>1.4285714285714286</c:v>
                </c:pt>
                <c:pt idx="4">
                  <c:v>0.7142857142857143</c:v>
                </c:pt>
                <c:pt idx="5">
                  <c:v>1</c:v>
                </c:pt>
                <c:pt idx="6">
                  <c:v>2.4285714285714284</c:v>
                </c:pt>
                <c:pt idx="7">
                  <c:v>1.8571428571428572</c:v>
                </c:pt>
                <c:pt idx="8">
                  <c:v>2.1428571428571428</c:v>
                </c:pt>
              </c:numCache>
            </c:numRef>
          </c:val>
          <c:extLst>
            <c:ext xmlns:c16="http://schemas.microsoft.com/office/drawing/2014/chart" uri="{C3380CC4-5D6E-409C-BE32-E72D297353CC}">
              <c16:uniqueId val="{00000002-3872-4B2C-893D-0B73A45C7DD0}"/>
            </c:ext>
          </c:extLst>
        </c:ser>
        <c:ser>
          <c:idx val="3"/>
          <c:order val="3"/>
          <c:tx>
            <c:strRef>
              <c:f>'Muestra 4'!$A$54</c:f>
              <c:strCache>
                <c:ptCount val="1"/>
                <c:pt idx="0">
                  <c:v>Consumidor General de Destilados</c:v>
                </c:pt>
              </c:strCache>
            </c:strRef>
          </c:tx>
          <c:spPr>
            <a:ln w="25400" cap="rnd">
              <a:solidFill>
                <a:schemeClr val="accent4"/>
              </a:solidFill>
              <a:prstDash val="solid"/>
              <a:round/>
            </a:ln>
            <a:effectLst>
              <a:outerShdw blurRad="57150" dist="19050" dir="5400000" algn="ctr" rotWithShape="0">
                <a:srgbClr val="000000">
                  <a:alpha val="63000"/>
                </a:srgbClr>
              </a:outerShdw>
            </a:effectLst>
          </c:spPr>
          <c:marker>
            <c:symbol val="none"/>
          </c:marker>
          <c:val>
            <c:numRef>
              <c:f>('Muestra 4'!$D$75:$I$75,'Muestra 4'!$K$75:$M$75)</c:f>
              <c:numCache>
                <c:formatCode>0.00</c:formatCode>
                <c:ptCount val="9"/>
                <c:pt idx="0">
                  <c:v>2.7105263157894739</c:v>
                </c:pt>
                <c:pt idx="1">
                  <c:v>1.8947368421052631</c:v>
                </c:pt>
                <c:pt idx="2">
                  <c:v>1.631578947368421</c:v>
                </c:pt>
                <c:pt idx="3">
                  <c:v>2.2894736842105261</c:v>
                </c:pt>
                <c:pt idx="4">
                  <c:v>1.5526315789473684</c:v>
                </c:pt>
                <c:pt idx="5">
                  <c:v>0.78947368421052633</c:v>
                </c:pt>
                <c:pt idx="6">
                  <c:v>2.5263157894736841</c:v>
                </c:pt>
                <c:pt idx="7">
                  <c:v>2.4210526315789473</c:v>
                </c:pt>
                <c:pt idx="8">
                  <c:v>2</c:v>
                </c:pt>
              </c:numCache>
            </c:numRef>
          </c:val>
          <c:extLst>
            <c:ext xmlns:c16="http://schemas.microsoft.com/office/drawing/2014/chart" uri="{C3380CC4-5D6E-409C-BE32-E72D297353CC}">
              <c16:uniqueId val="{00000003-3872-4B2C-893D-0B73A45C7DD0}"/>
            </c:ext>
          </c:extLst>
        </c:ser>
        <c:dLbls>
          <c:showLegendKey val="0"/>
          <c:showVal val="0"/>
          <c:showCatName val="0"/>
          <c:showSerName val="0"/>
          <c:showPercent val="0"/>
          <c:showBubbleSize val="0"/>
        </c:dLbls>
        <c:axId val="7944911"/>
        <c:axId val="7945391"/>
      </c:radarChart>
      <c:catAx>
        <c:axId val="7944911"/>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7945391"/>
        <c:crosses val="autoZero"/>
        <c:auto val="1"/>
        <c:lblAlgn val="ctr"/>
        <c:lblOffset val="100"/>
        <c:noMultiLvlLbl val="0"/>
      </c:catAx>
      <c:valAx>
        <c:axId val="79453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7944911"/>
        <c:crosses val="autoZero"/>
        <c:crossBetween val="between"/>
      </c:valAx>
      <c:spPr>
        <a:noFill/>
        <a:ln>
          <a:noFill/>
        </a:ln>
        <a:effectLst/>
      </c:spPr>
    </c:plotArea>
    <c:legend>
      <c:legendPos val="r"/>
      <c:layout>
        <c:manualLayout>
          <c:xMode val="edge"/>
          <c:yMode val="edge"/>
          <c:x val="0.67213757655293094"/>
          <c:y val="0.32361986001749782"/>
          <c:w val="0.31119575678040245"/>
          <c:h val="0.400908428113152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s-CL" sz="1600" b="1"/>
              <a:t>Sabor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manualLayout>
          <c:layoutTarget val="inner"/>
          <c:xMode val="edge"/>
          <c:yMode val="edge"/>
          <c:x val="0.1496314790254315"/>
          <c:y val="0.22248801780212257"/>
          <c:w val="0.43386077921061456"/>
          <c:h val="0.7211365970558028"/>
        </c:manualLayout>
      </c:layout>
      <c:radarChart>
        <c:radarStyle val="marker"/>
        <c:varyColors val="0"/>
        <c:ser>
          <c:idx val="0"/>
          <c:order val="0"/>
          <c:tx>
            <c:strRef>
              <c:f>'Muestra 4'!$A$33</c:f>
              <c:strCache>
                <c:ptCount val="1"/>
                <c:pt idx="0">
                  <c:v>Promedio</c:v>
                </c:pt>
              </c:strCache>
            </c:strRef>
          </c:tx>
          <c:spPr>
            <a:ln w="44450" cap="rnd">
              <a:solidFill>
                <a:srgbClr val="FF0000"/>
              </a:solidFill>
              <a:prstDash val="sysDash"/>
              <a:round/>
            </a:ln>
            <a:effectLst/>
          </c:spPr>
          <c:marker>
            <c:symbol val="none"/>
          </c:marker>
          <c:cat>
            <c:strRef>
              <c:f>'Muestra 4'!$O$1:$V$1</c:f>
              <c:strCache>
                <c:ptCount val="8"/>
                <c:pt idx="0">
                  <c:v>Intensidad de ahumado
</c:v>
                </c:pt>
                <c:pt idx="1">
                  <c:v> Medicinal</c:v>
                </c:pt>
                <c:pt idx="2">
                  <c:v> Terroso</c:v>
                </c:pt>
                <c:pt idx="3">
                  <c:v>Amaderado</c:v>
                </c:pt>
                <c:pt idx="4">
                  <c:v>Café</c:v>
                </c:pt>
                <c:pt idx="5">
                  <c:v>Frutal</c:v>
                </c:pt>
                <c:pt idx="6">
                  <c:v>Vainilla</c:v>
                </c:pt>
                <c:pt idx="7">
                  <c:v>Cereal </c:v>
                </c:pt>
              </c:strCache>
            </c:strRef>
          </c:cat>
          <c:val>
            <c:numRef>
              <c:f>'Muestra 4'!$O$33:$V$33</c:f>
              <c:numCache>
                <c:formatCode>0.00</c:formatCode>
                <c:ptCount val="8"/>
                <c:pt idx="0">
                  <c:v>3.3333333333333335</c:v>
                </c:pt>
                <c:pt idx="1">
                  <c:v>2.3666666666666667</c:v>
                </c:pt>
                <c:pt idx="2">
                  <c:v>2.5</c:v>
                </c:pt>
                <c:pt idx="3">
                  <c:v>3.2666666666666666</c:v>
                </c:pt>
                <c:pt idx="4">
                  <c:v>1.8333333333333333</c:v>
                </c:pt>
                <c:pt idx="5">
                  <c:v>2.2666666666666666</c:v>
                </c:pt>
                <c:pt idx="6">
                  <c:v>2.2999999999999998</c:v>
                </c:pt>
                <c:pt idx="7">
                  <c:v>2.2000000000000002</c:v>
                </c:pt>
              </c:numCache>
            </c:numRef>
          </c:val>
          <c:extLst>
            <c:ext xmlns:c16="http://schemas.microsoft.com/office/drawing/2014/chart" uri="{C3380CC4-5D6E-409C-BE32-E72D297353CC}">
              <c16:uniqueId val="{00000000-6B07-4DE8-B360-1ED856F85CCE}"/>
            </c:ext>
          </c:extLst>
        </c:ser>
        <c:ser>
          <c:idx val="1"/>
          <c:order val="1"/>
          <c:tx>
            <c:strRef>
              <c:f>'Muestra 4'!$A$35</c:f>
              <c:strCache>
                <c:ptCount val="1"/>
                <c:pt idx="0">
                  <c:v>Experto/ Sommelier</c:v>
                </c:pt>
              </c:strCache>
            </c:strRef>
          </c:tx>
          <c:spPr>
            <a:ln w="25400" cap="rnd">
              <a:solidFill>
                <a:srgbClr val="0070C0"/>
              </a:solidFill>
              <a:round/>
            </a:ln>
            <a:effectLst/>
          </c:spPr>
          <c:marker>
            <c:symbol val="none"/>
          </c:marker>
          <c:val>
            <c:numRef>
              <c:f>'Muestra 4'!$O$41:$V$41</c:f>
              <c:numCache>
                <c:formatCode>0.00</c:formatCode>
                <c:ptCount val="8"/>
                <c:pt idx="0">
                  <c:v>3.25</c:v>
                </c:pt>
                <c:pt idx="1">
                  <c:v>2.75</c:v>
                </c:pt>
                <c:pt idx="2">
                  <c:v>1.5</c:v>
                </c:pt>
                <c:pt idx="3">
                  <c:v>3.25</c:v>
                </c:pt>
                <c:pt idx="4">
                  <c:v>1.75</c:v>
                </c:pt>
                <c:pt idx="5">
                  <c:v>2</c:v>
                </c:pt>
                <c:pt idx="6">
                  <c:v>1.5</c:v>
                </c:pt>
                <c:pt idx="7">
                  <c:v>2</c:v>
                </c:pt>
              </c:numCache>
            </c:numRef>
          </c:val>
          <c:extLst>
            <c:ext xmlns:c16="http://schemas.microsoft.com/office/drawing/2014/chart" uri="{C3380CC4-5D6E-409C-BE32-E72D297353CC}">
              <c16:uniqueId val="{00000001-6B07-4DE8-B360-1ED856F85CCE}"/>
            </c:ext>
          </c:extLst>
        </c:ser>
        <c:ser>
          <c:idx val="2"/>
          <c:order val="2"/>
          <c:tx>
            <c:strRef>
              <c:f>'Muestra 4'!$A$43</c:f>
              <c:strCache>
                <c:ptCount val="1"/>
                <c:pt idx="0">
                  <c:v>Aficionado al whisky</c:v>
                </c:pt>
              </c:strCache>
            </c:strRef>
          </c:tx>
          <c:spPr>
            <a:ln w="25400" cap="rnd">
              <a:solidFill>
                <a:schemeClr val="accent3"/>
              </a:solidFill>
              <a:round/>
            </a:ln>
            <a:effectLst/>
          </c:spPr>
          <c:marker>
            <c:symbol val="none"/>
          </c:marker>
          <c:val>
            <c:numRef>
              <c:f>'Muestra 4'!$O$52:$V$52</c:f>
              <c:numCache>
                <c:formatCode>0.00</c:formatCode>
                <c:ptCount val="8"/>
                <c:pt idx="0">
                  <c:v>3</c:v>
                </c:pt>
                <c:pt idx="1">
                  <c:v>1.7142857142857142</c:v>
                </c:pt>
                <c:pt idx="2">
                  <c:v>2</c:v>
                </c:pt>
                <c:pt idx="3">
                  <c:v>3.1428571428571428</c:v>
                </c:pt>
                <c:pt idx="4">
                  <c:v>1.5714285714285714</c:v>
                </c:pt>
                <c:pt idx="5">
                  <c:v>2.5714285714285716</c:v>
                </c:pt>
                <c:pt idx="6">
                  <c:v>2.2857142857142856</c:v>
                </c:pt>
                <c:pt idx="7">
                  <c:v>2.7142857142857144</c:v>
                </c:pt>
              </c:numCache>
            </c:numRef>
          </c:val>
          <c:extLst>
            <c:ext xmlns:c16="http://schemas.microsoft.com/office/drawing/2014/chart" uri="{C3380CC4-5D6E-409C-BE32-E72D297353CC}">
              <c16:uniqueId val="{00000002-6B07-4DE8-B360-1ED856F85CCE}"/>
            </c:ext>
          </c:extLst>
        </c:ser>
        <c:ser>
          <c:idx val="3"/>
          <c:order val="3"/>
          <c:tx>
            <c:strRef>
              <c:f>'Muestra 4'!$A$54</c:f>
              <c:strCache>
                <c:ptCount val="1"/>
                <c:pt idx="0">
                  <c:v>Consumidor General de Destilados</c:v>
                </c:pt>
              </c:strCache>
            </c:strRef>
          </c:tx>
          <c:spPr>
            <a:ln w="25400" cap="rnd">
              <a:solidFill>
                <a:schemeClr val="accent4"/>
              </a:solidFill>
              <a:round/>
            </a:ln>
            <a:effectLst/>
          </c:spPr>
          <c:marker>
            <c:symbol val="none"/>
          </c:marker>
          <c:val>
            <c:numRef>
              <c:f>'Muestra 4'!$O$75:$V$75</c:f>
              <c:numCache>
                <c:formatCode>0.00</c:formatCode>
                <c:ptCount val="8"/>
                <c:pt idx="0">
                  <c:v>3.4736842105263159</c:v>
                </c:pt>
                <c:pt idx="1">
                  <c:v>2.5263157894736841</c:v>
                </c:pt>
                <c:pt idx="2">
                  <c:v>2.8947368421052633</c:v>
                </c:pt>
                <c:pt idx="3">
                  <c:v>3.3157894736842106</c:v>
                </c:pt>
                <c:pt idx="4">
                  <c:v>1.9473684210526316</c:v>
                </c:pt>
                <c:pt idx="5">
                  <c:v>2.2105263157894739</c:v>
                </c:pt>
                <c:pt idx="6">
                  <c:v>2.4736842105263159</c:v>
                </c:pt>
                <c:pt idx="7">
                  <c:v>2.0526315789473686</c:v>
                </c:pt>
              </c:numCache>
            </c:numRef>
          </c:val>
          <c:extLst>
            <c:ext xmlns:c16="http://schemas.microsoft.com/office/drawing/2014/chart" uri="{C3380CC4-5D6E-409C-BE32-E72D297353CC}">
              <c16:uniqueId val="{00000003-6B07-4DE8-B360-1ED856F85CCE}"/>
            </c:ext>
          </c:extLst>
        </c:ser>
        <c:dLbls>
          <c:showLegendKey val="0"/>
          <c:showVal val="0"/>
          <c:showCatName val="0"/>
          <c:showSerName val="0"/>
          <c:showPercent val="0"/>
          <c:showBubbleSize val="0"/>
        </c:dLbls>
        <c:axId val="427634383"/>
        <c:axId val="427630063"/>
      </c:radarChart>
      <c:catAx>
        <c:axId val="427634383"/>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27630063"/>
        <c:crosses val="autoZero"/>
        <c:auto val="1"/>
        <c:lblAlgn val="ctr"/>
        <c:lblOffset val="100"/>
        <c:noMultiLvlLbl val="0"/>
      </c:catAx>
      <c:valAx>
        <c:axId val="4276300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27634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600" b="1"/>
              <a:t>Regusto-Final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manualLayout>
          <c:layoutTarget val="inner"/>
          <c:xMode val="edge"/>
          <c:yMode val="edge"/>
          <c:x val="0.15761213417926953"/>
          <c:y val="0.27981955991079405"/>
          <c:w val="0.42820148622456078"/>
          <c:h val="0.60171463027672456"/>
        </c:manualLayout>
      </c:layout>
      <c:radarChart>
        <c:radarStyle val="marker"/>
        <c:varyColors val="0"/>
        <c:ser>
          <c:idx val="0"/>
          <c:order val="0"/>
          <c:tx>
            <c:strRef>
              <c:f>'Muestra 4'!$A$33</c:f>
              <c:strCache>
                <c:ptCount val="1"/>
                <c:pt idx="0">
                  <c:v>Promedio</c:v>
                </c:pt>
              </c:strCache>
            </c:strRef>
          </c:tx>
          <c:spPr>
            <a:ln w="44450" cap="rnd">
              <a:solidFill>
                <a:srgbClr val="FF0000"/>
              </a:solidFill>
              <a:prstDash val="sysDash"/>
              <a:round/>
            </a:ln>
            <a:effectLst/>
          </c:spPr>
          <c:marker>
            <c:symbol val="none"/>
          </c:marker>
          <c:cat>
            <c:strRef>
              <c:f>'Muestra 4'!$X$1:$AD$1</c:f>
              <c:strCache>
                <c:ptCount val="7"/>
                <c:pt idx="0">
                  <c:v>Sensación en boca</c:v>
                </c:pt>
                <c:pt idx="1">
                  <c:v>Duración</c:v>
                </c:pt>
                <c:pt idx="2">
                  <c:v>Ahumado</c:v>
                </c:pt>
                <c:pt idx="3">
                  <c:v>Complejidad</c:v>
                </c:pt>
                <c:pt idx="4">
                  <c:v>Integración del ahumado con otros sabores</c:v>
                </c:pt>
                <c:pt idx="5">
                  <c:v>Armonía entre nariz, paladar y final.</c:v>
                </c:pt>
                <c:pt idx="6">
                  <c:v>Tomabilidad (enfocada en el ahumado)</c:v>
                </c:pt>
              </c:strCache>
            </c:strRef>
          </c:cat>
          <c:val>
            <c:numRef>
              <c:f>'Muestra 4'!$X$33:$AD$33</c:f>
              <c:numCache>
                <c:formatCode>0.00</c:formatCode>
                <c:ptCount val="7"/>
                <c:pt idx="0">
                  <c:v>2.9666666666666668</c:v>
                </c:pt>
                <c:pt idx="1">
                  <c:v>3.3</c:v>
                </c:pt>
                <c:pt idx="2">
                  <c:v>2.7</c:v>
                </c:pt>
                <c:pt idx="3">
                  <c:v>2.8333333333333335</c:v>
                </c:pt>
                <c:pt idx="4">
                  <c:v>3.0666666666666669</c:v>
                </c:pt>
                <c:pt idx="5">
                  <c:v>2.9666666666666668</c:v>
                </c:pt>
                <c:pt idx="6">
                  <c:v>3.1333333333333333</c:v>
                </c:pt>
              </c:numCache>
            </c:numRef>
          </c:val>
          <c:extLst>
            <c:ext xmlns:c16="http://schemas.microsoft.com/office/drawing/2014/chart" uri="{C3380CC4-5D6E-409C-BE32-E72D297353CC}">
              <c16:uniqueId val="{00000000-F213-4B80-9DF8-F32515D85BBE}"/>
            </c:ext>
          </c:extLst>
        </c:ser>
        <c:ser>
          <c:idx val="1"/>
          <c:order val="1"/>
          <c:tx>
            <c:strRef>
              <c:f>'Muestra 4'!$A$35</c:f>
              <c:strCache>
                <c:ptCount val="1"/>
                <c:pt idx="0">
                  <c:v>Experto/ Sommelier</c:v>
                </c:pt>
              </c:strCache>
            </c:strRef>
          </c:tx>
          <c:spPr>
            <a:ln w="25400" cap="rnd">
              <a:solidFill>
                <a:srgbClr val="0070C0"/>
              </a:solidFill>
              <a:round/>
            </a:ln>
            <a:effectLst/>
          </c:spPr>
          <c:marker>
            <c:symbol val="none"/>
          </c:marker>
          <c:val>
            <c:numRef>
              <c:f>'Muestra 4'!$X$41:$AD$41</c:f>
              <c:numCache>
                <c:formatCode>0.00</c:formatCode>
                <c:ptCount val="7"/>
                <c:pt idx="0">
                  <c:v>3.25</c:v>
                </c:pt>
                <c:pt idx="1">
                  <c:v>2.75</c:v>
                </c:pt>
                <c:pt idx="2">
                  <c:v>2.5</c:v>
                </c:pt>
                <c:pt idx="3">
                  <c:v>2.25</c:v>
                </c:pt>
                <c:pt idx="4">
                  <c:v>3.5</c:v>
                </c:pt>
                <c:pt idx="5">
                  <c:v>3.25</c:v>
                </c:pt>
                <c:pt idx="6">
                  <c:v>3.5</c:v>
                </c:pt>
              </c:numCache>
            </c:numRef>
          </c:val>
          <c:extLst>
            <c:ext xmlns:c16="http://schemas.microsoft.com/office/drawing/2014/chart" uri="{C3380CC4-5D6E-409C-BE32-E72D297353CC}">
              <c16:uniqueId val="{00000001-F213-4B80-9DF8-F32515D85BBE}"/>
            </c:ext>
          </c:extLst>
        </c:ser>
        <c:ser>
          <c:idx val="2"/>
          <c:order val="2"/>
          <c:tx>
            <c:strRef>
              <c:f>'Muestra 4'!$A$43</c:f>
              <c:strCache>
                <c:ptCount val="1"/>
                <c:pt idx="0">
                  <c:v>Aficionado al whisky</c:v>
                </c:pt>
              </c:strCache>
            </c:strRef>
          </c:tx>
          <c:spPr>
            <a:ln w="25400" cap="rnd">
              <a:solidFill>
                <a:schemeClr val="accent3"/>
              </a:solidFill>
              <a:round/>
            </a:ln>
            <a:effectLst/>
          </c:spPr>
          <c:marker>
            <c:symbol val="none"/>
          </c:marker>
          <c:val>
            <c:numRef>
              <c:f>'Muestra 4'!$X$52:$AD$52</c:f>
              <c:numCache>
                <c:formatCode>0.00</c:formatCode>
                <c:ptCount val="7"/>
                <c:pt idx="0">
                  <c:v>3.1428571428571428</c:v>
                </c:pt>
                <c:pt idx="1">
                  <c:v>2.8571428571428572</c:v>
                </c:pt>
                <c:pt idx="2">
                  <c:v>2.2857142857142856</c:v>
                </c:pt>
                <c:pt idx="3">
                  <c:v>2.4285714285714284</c:v>
                </c:pt>
                <c:pt idx="4">
                  <c:v>2.7142857142857144</c:v>
                </c:pt>
                <c:pt idx="5">
                  <c:v>2.7142857142857144</c:v>
                </c:pt>
                <c:pt idx="6">
                  <c:v>2.7142857142857144</c:v>
                </c:pt>
              </c:numCache>
            </c:numRef>
          </c:val>
          <c:extLst>
            <c:ext xmlns:c16="http://schemas.microsoft.com/office/drawing/2014/chart" uri="{C3380CC4-5D6E-409C-BE32-E72D297353CC}">
              <c16:uniqueId val="{00000002-F213-4B80-9DF8-F32515D85BBE}"/>
            </c:ext>
          </c:extLst>
        </c:ser>
        <c:ser>
          <c:idx val="3"/>
          <c:order val="3"/>
          <c:tx>
            <c:strRef>
              <c:f>'Muestra 4'!$A$54</c:f>
              <c:strCache>
                <c:ptCount val="1"/>
                <c:pt idx="0">
                  <c:v>Consumidor General de Destilados</c:v>
                </c:pt>
              </c:strCache>
            </c:strRef>
          </c:tx>
          <c:spPr>
            <a:ln w="25400" cap="rnd">
              <a:solidFill>
                <a:schemeClr val="accent4"/>
              </a:solidFill>
              <a:round/>
            </a:ln>
            <a:effectLst/>
          </c:spPr>
          <c:marker>
            <c:symbol val="none"/>
          </c:marker>
          <c:val>
            <c:numRef>
              <c:f>'Muestra 4'!$X$75:$AD$75</c:f>
              <c:numCache>
                <c:formatCode>0.00</c:formatCode>
                <c:ptCount val="7"/>
                <c:pt idx="0">
                  <c:v>2.8421052631578947</c:v>
                </c:pt>
                <c:pt idx="1">
                  <c:v>3.5789473684210527</c:v>
                </c:pt>
                <c:pt idx="2">
                  <c:v>2.8947368421052633</c:v>
                </c:pt>
                <c:pt idx="3">
                  <c:v>3.1052631578947367</c:v>
                </c:pt>
                <c:pt idx="4">
                  <c:v>3.1052631578947367</c:v>
                </c:pt>
                <c:pt idx="5">
                  <c:v>3</c:v>
                </c:pt>
                <c:pt idx="6">
                  <c:v>3.2105263157894739</c:v>
                </c:pt>
              </c:numCache>
            </c:numRef>
          </c:val>
          <c:extLst>
            <c:ext xmlns:c16="http://schemas.microsoft.com/office/drawing/2014/chart" uri="{C3380CC4-5D6E-409C-BE32-E72D297353CC}">
              <c16:uniqueId val="{00000003-F213-4B80-9DF8-F32515D85BBE}"/>
            </c:ext>
          </c:extLst>
        </c:ser>
        <c:dLbls>
          <c:showLegendKey val="0"/>
          <c:showVal val="0"/>
          <c:showCatName val="0"/>
          <c:showSerName val="0"/>
          <c:showPercent val="0"/>
          <c:showBubbleSize val="0"/>
        </c:dLbls>
        <c:axId val="427635823"/>
        <c:axId val="427638223"/>
      </c:radarChart>
      <c:catAx>
        <c:axId val="427635823"/>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27638223"/>
        <c:crosses val="autoZero"/>
        <c:auto val="1"/>
        <c:lblAlgn val="ctr"/>
        <c:lblOffset val="100"/>
        <c:noMultiLvlLbl val="0"/>
      </c:catAx>
      <c:valAx>
        <c:axId val="4276382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27635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s-CL"/>
              <a:t>Aroma Caol Ila (12años)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CL"/>
        </a:p>
      </c:txPr>
    </c:title>
    <c:autoTitleDeleted val="0"/>
    <c:plotArea>
      <c:layout>
        <c:manualLayout>
          <c:layoutTarget val="inner"/>
          <c:xMode val="edge"/>
          <c:yMode val="edge"/>
          <c:x val="0.13066076115485564"/>
          <c:y val="0.19809346748323126"/>
          <c:w val="0.44360214348206473"/>
          <c:h val="0.73933690580344125"/>
        </c:manualLayout>
      </c:layout>
      <c:radarChart>
        <c:radarStyle val="marker"/>
        <c:varyColors val="0"/>
        <c:ser>
          <c:idx val="0"/>
          <c:order val="0"/>
          <c:tx>
            <c:v>Promedio</c:v>
          </c:tx>
          <c:spPr>
            <a:ln w="44450" cap="rnd">
              <a:solidFill>
                <a:srgbClr val="FF0000"/>
              </a:solidFill>
              <a:prstDash val="sysDash"/>
              <a:round/>
            </a:ln>
            <a:effectLst>
              <a:outerShdw blurRad="57150" dist="19050" dir="5400000" algn="ctr" rotWithShape="0">
                <a:srgbClr val="000000">
                  <a:alpha val="63000"/>
                </a:srgbClr>
              </a:outerShdw>
            </a:effectLst>
          </c:spPr>
          <c:marker>
            <c:symbol val="none"/>
          </c:marker>
          <c:cat>
            <c:strRef>
              <c:f>('Muestra 7'!$D$1:$I$1,'Muestra 7'!$L$1:$M$1,'Muestra 7'!$K$1,'Muestra 7'!$D$1:$I$1,'Muestra 7'!$K$1:$M$1)</c:f>
              <c:strCache>
                <c:ptCount val="18"/>
                <c:pt idx="0">
                  <c:v>Intensidad Ahumado</c:v>
                </c:pt>
                <c:pt idx="1">
                  <c:v> Medicinal</c:v>
                </c:pt>
                <c:pt idx="2">
                  <c:v> Terroso</c:v>
                </c:pt>
                <c:pt idx="3">
                  <c:v>Amaderado</c:v>
                </c:pt>
                <c:pt idx="4">
                  <c:v>Café</c:v>
                </c:pt>
                <c:pt idx="5">
                  <c:v>Otro</c:v>
                </c:pt>
                <c:pt idx="6">
                  <c:v>Vainilla</c:v>
                </c:pt>
                <c:pt idx="7">
                  <c:v>Cereal </c:v>
                </c:pt>
                <c:pt idx="8">
                  <c:v>Frutal</c:v>
                </c:pt>
                <c:pt idx="9">
                  <c:v>Intensidad Ahumado</c:v>
                </c:pt>
                <c:pt idx="10">
                  <c:v> Medicinal</c:v>
                </c:pt>
                <c:pt idx="11">
                  <c:v> Terroso</c:v>
                </c:pt>
                <c:pt idx="12">
                  <c:v>Amaderado</c:v>
                </c:pt>
                <c:pt idx="13">
                  <c:v>Café</c:v>
                </c:pt>
                <c:pt idx="14">
                  <c:v>Otro</c:v>
                </c:pt>
                <c:pt idx="15">
                  <c:v>Frutal</c:v>
                </c:pt>
                <c:pt idx="16">
                  <c:v>Vainilla</c:v>
                </c:pt>
                <c:pt idx="17">
                  <c:v>Cereal </c:v>
                </c:pt>
              </c:strCache>
            </c:strRef>
          </c:cat>
          <c:val>
            <c:numRef>
              <c:f>('Muestra 7'!$D$33:$I$33,'Muestra 7'!$K$33:$M$33)</c:f>
              <c:numCache>
                <c:formatCode>0.00</c:formatCode>
                <c:ptCount val="9"/>
                <c:pt idx="0">
                  <c:v>3.5166666666666666</c:v>
                </c:pt>
                <c:pt idx="1">
                  <c:v>2.8333333333333335</c:v>
                </c:pt>
                <c:pt idx="2">
                  <c:v>2.0666666666666669</c:v>
                </c:pt>
                <c:pt idx="3">
                  <c:v>2.2333333333333334</c:v>
                </c:pt>
                <c:pt idx="4">
                  <c:v>1.3833333333333333</c:v>
                </c:pt>
                <c:pt idx="5">
                  <c:v>0.83333333333333337</c:v>
                </c:pt>
                <c:pt idx="6">
                  <c:v>1.8333333333333333</c:v>
                </c:pt>
                <c:pt idx="7">
                  <c:v>1.9333333333333333</c:v>
                </c:pt>
                <c:pt idx="8">
                  <c:v>2.6666666666666665</c:v>
                </c:pt>
              </c:numCache>
            </c:numRef>
          </c:val>
          <c:extLst>
            <c:ext xmlns:c16="http://schemas.microsoft.com/office/drawing/2014/chart" uri="{C3380CC4-5D6E-409C-BE32-E72D297353CC}">
              <c16:uniqueId val="{00000000-B705-4A6C-B0D1-B1081DEE6973}"/>
            </c:ext>
          </c:extLst>
        </c:ser>
        <c:ser>
          <c:idx val="1"/>
          <c:order val="1"/>
          <c:tx>
            <c:v>Experto/Sommelier</c:v>
          </c:tx>
          <c:spPr>
            <a:ln w="25400" cap="rnd">
              <a:solidFill>
                <a:srgbClr val="0070C0"/>
              </a:solidFill>
              <a:round/>
            </a:ln>
            <a:effectLst>
              <a:outerShdw blurRad="57150" dist="19050" dir="5400000" algn="ctr" rotWithShape="0">
                <a:srgbClr val="000000">
                  <a:alpha val="63000"/>
                </a:srgbClr>
              </a:outerShdw>
            </a:effectLst>
          </c:spPr>
          <c:marker>
            <c:symbol val="none"/>
          </c:marker>
          <c:val>
            <c:numRef>
              <c:f>('Muestra 7'!$D$41:$I$41,'Muestra 7'!$K$41:$M$41)</c:f>
              <c:numCache>
                <c:formatCode>0.00</c:formatCode>
                <c:ptCount val="9"/>
                <c:pt idx="0">
                  <c:v>4</c:v>
                </c:pt>
                <c:pt idx="1">
                  <c:v>2.75</c:v>
                </c:pt>
                <c:pt idx="2">
                  <c:v>2.25</c:v>
                </c:pt>
                <c:pt idx="3">
                  <c:v>2.5</c:v>
                </c:pt>
                <c:pt idx="4">
                  <c:v>1.25</c:v>
                </c:pt>
                <c:pt idx="5">
                  <c:v>1.5</c:v>
                </c:pt>
                <c:pt idx="6">
                  <c:v>1</c:v>
                </c:pt>
                <c:pt idx="7">
                  <c:v>1</c:v>
                </c:pt>
                <c:pt idx="8">
                  <c:v>2</c:v>
                </c:pt>
              </c:numCache>
            </c:numRef>
          </c:val>
          <c:extLst>
            <c:ext xmlns:c16="http://schemas.microsoft.com/office/drawing/2014/chart" uri="{C3380CC4-5D6E-409C-BE32-E72D297353CC}">
              <c16:uniqueId val="{00000001-B705-4A6C-B0D1-B1081DEE6973}"/>
            </c:ext>
          </c:extLst>
        </c:ser>
        <c:ser>
          <c:idx val="2"/>
          <c:order val="2"/>
          <c:tx>
            <c:strRef>
              <c:f>'Muestra 7'!$A$43</c:f>
              <c:strCache>
                <c:ptCount val="1"/>
                <c:pt idx="0">
                  <c:v>Aficionado al whisky</c:v>
                </c:pt>
              </c:strCache>
            </c:strRef>
          </c:tx>
          <c:spPr>
            <a:ln w="25400" cap="rnd">
              <a:solidFill>
                <a:schemeClr val="accent3"/>
              </a:solidFill>
              <a:round/>
            </a:ln>
            <a:effectLst>
              <a:outerShdw blurRad="57150" dist="19050" dir="5400000" algn="ctr" rotWithShape="0">
                <a:srgbClr val="000000">
                  <a:alpha val="63000"/>
                </a:srgbClr>
              </a:outerShdw>
            </a:effectLst>
          </c:spPr>
          <c:marker>
            <c:symbol val="none"/>
          </c:marker>
          <c:val>
            <c:numRef>
              <c:f>('Muestra 7'!$D$52:$I$52,'Muestra 7'!$K$52:$M$52)</c:f>
              <c:numCache>
                <c:formatCode>0.00</c:formatCode>
                <c:ptCount val="9"/>
                <c:pt idx="0">
                  <c:v>3.5</c:v>
                </c:pt>
                <c:pt idx="1">
                  <c:v>2.2857142857142856</c:v>
                </c:pt>
                <c:pt idx="2">
                  <c:v>1.1428571428571428</c:v>
                </c:pt>
                <c:pt idx="3">
                  <c:v>2</c:v>
                </c:pt>
                <c:pt idx="4">
                  <c:v>1.7142857142857142</c:v>
                </c:pt>
                <c:pt idx="5">
                  <c:v>1</c:v>
                </c:pt>
                <c:pt idx="6">
                  <c:v>2.2857142857142856</c:v>
                </c:pt>
                <c:pt idx="7">
                  <c:v>2.4285714285714284</c:v>
                </c:pt>
                <c:pt idx="8">
                  <c:v>3.1428571428571428</c:v>
                </c:pt>
              </c:numCache>
            </c:numRef>
          </c:val>
          <c:extLst>
            <c:ext xmlns:c16="http://schemas.microsoft.com/office/drawing/2014/chart" uri="{C3380CC4-5D6E-409C-BE32-E72D297353CC}">
              <c16:uniqueId val="{00000002-B705-4A6C-B0D1-B1081DEE6973}"/>
            </c:ext>
          </c:extLst>
        </c:ser>
        <c:ser>
          <c:idx val="3"/>
          <c:order val="3"/>
          <c:tx>
            <c:strRef>
              <c:f>'Muestra 7'!$A$54</c:f>
              <c:strCache>
                <c:ptCount val="1"/>
                <c:pt idx="0">
                  <c:v>Consumidor General de Destilados</c:v>
                </c:pt>
              </c:strCache>
            </c:strRef>
          </c:tx>
          <c:spPr>
            <a:ln w="25400" cap="rnd">
              <a:solidFill>
                <a:schemeClr val="accent4"/>
              </a:solidFill>
              <a:prstDash val="solid"/>
              <a:round/>
            </a:ln>
            <a:effectLst>
              <a:outerShdw blurRad="57150" dist="19050" dir="5400000" algn="ctr" rotWithShape="0">
                <a:srgbClr val="000000">
                  <a:alpha val="63000"/>
                </a:srgbClr>
              </a:outerShdw>
            </a:effectLst>
          </c:spPr>
          <c:marker>
            <c:symbol val="none"/>
          </c:marker>
          <c:val>
            <c:numRef>
              <c:f>('Muestra 7'!$D$76:$I$76,'Muestra 7'!$K$76:$M$76)</c:f>
              <c:numCache>
                <c:formatCode>0.00</c:formatCode>
                <c:ptCount val="9"/>
                <c:pt idx="0">
                  <c:v>3.4210526315789473</c:v>
                </c:pt>
                <c:pt idx="1">
                  <c:v>3.0526315789473686</c:v>
                </c:pt>
                <c:pt idx="2">
                  <c:v>2.3684210526315788</c:v>
                </c:pt>
                <c:pt idx="3">
                  <c:v>2.263157894736842</c:v>
                </c:pt>
                <c:pt idx="4">
                  <c:v>1.2894736842105263</c:v>
                </c:pt>
                <c:pt idx="5">
                  <c:v>0.63157894736842102</c:v>
                </c:pt>
                <c:pt idx="6">
                  <c:v>1.8421052631578947</c:v>
                </c:pt>
                <c:pt idx="7">
                  <c:v>1.9473684210526316</c:v>
                </c:pt>
                <c:pt idx="8">
                  <c:v>2.6315789473684212</c:v>
                </c:pt>
              </c:numCache>
            </c:numRef>
          </c:val>
          <c:extLst>
            <c:ext xmlns:c16="http://schemas.microsoft.com/office/drawing/2014/chart" uri="{C3380CC4-5D6E-409C-BE32-E72D297353CC}">
              <c16:uniqueId val="{00000003-B705-4A6C-B0D1-B1081DEE6973}"/>
            </c:ext>
          </c:extLst>
        </c:ser>
        <c:dLbls>
          <c:showLegendKey val="0"/>
          <c:showVal val="0"/>
          <c:showCatName val="0"/>
          <c:showSerName val="0"/>
          <c:showPercent val="0"/>
          <c:showBubbleSize val="0"/>
        </c:dLbls>
        <c:axId val="7944911"/>
        <c:axId val="7945391"/>
      </c:radarChart>
      <c:catAx>
        <c:axId val="7944911"/>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7945391"/>
        <c:crosses val="autoZero"/>
        <c:auto val="1"/>
        <c:lblAlgn val="ctr"/>
        <c:lblOffset val="100"/>
        <c:noMultiLvlLbl val="0"/>
      </c:catAx>
      <c:valAx>
        <c:axId val="79453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7944911"/>
        <c:crosses val="autoZero"/>
        <c:crossBetween val="between"/>
      </c:valAx>
      <c:spPr>
        <a:noFill/>
        <a:ln>
          <a:noFill/>
        </a:ln>
        <a:effectLst/>
      </c:spPr>
    </c:plotArea>
    <c:legend>
      <c:legendPos val="r"/>
      <c:layout>
        <c:manualLayout>
          <c:xMode val="edge"/>
          <c:yMode val="edge"/>
          <c:x val="0.67213757655293094"/>
          <c:y val="0.32361986001749782"/>
          <c:w val="0.31119575678040245"/>
          <c:h val="0.400908428113152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s-CL" sz="1600" b="1"/>
              <a:t>Sabor Caol Ila (12años)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manualLayout>
          <c:layoutTarget val="inner"/>
          <c:xMode val="edge"/>
          <c:yMode val="edge"/>
          <c:x val="0.1496314790254315"/>
          <c:y val="0.22248801780212257"/>
          <c:w val="0.43386077921061456"/>
          <c:h val="0.7211365970558028"/>
        </c:manualLayout>
      </c:layout>
      <c:radarChart>
        <c:radarStyle val="marker"/>
        <c:varyColors val="0"/>
        <c:ser>
          <c:idx val="0"/>
          <c:order val="0"/>
          <c:tx>
            <c:strRef>
              <c:f>'Muestra 7'!$A$33</c:f>
              <c:strCache>
                <c:ptCount val="1"/>
                <c:pt idx="0">
                  <c:v>Promedio</c:v>
                </c:pt>
              </c:strCache>
            </c:strRef>
          </c:tx>
          <c:spPr>
            <a:ln w="44450" cap="rnd">
              <a:solidFill>
                <a:srgbClr val="FF0000"/>
              </a:solidFill>
              <a:prstDash val="sysDash"/>
              <a:round/>
            </a:ln>
            <a:effectLst/>
          </c:spPr>
          <c:marker>
            <c:symbol val="none"/>
          </c:marker>
          <c:cat>
            <c:strRef>
              <c:f>'Muestra 7'!$O$1:$V$1</c:f>
              <c:strCache>
                <c:ptCount val="8"/>
                <c:pt idx="0">
                  <c:v>Intensidad de ahumado
</c:v>
                </c:pt>
                <c:pt idx="1">
                  <c:v> Medicinal</c:v>
                </c:pt>
                <c:pt idx="2">
                  <c:v> Terroso</c:v>
                </c:pt>
                <c:pt idx="3">
                  <c:v>Amaderado</c:v>
                </c:pt>
                <c:pt idx="4">
                  <c:v>Café</c:v>
                </c:pt>
                <c:pt idx="5">
                  <c:v>Frutal</c:v>
                </c:pt>
                <c:pt idx="6">
                  <c:v>Vainilla</c:v>
                </c:pt>
                <c:pt idx="7">
                  <c:v>Cereal </c:v>
                </c:pt>
              </c:strCache>
            </c:strRef>
          </c:cat>
          <c:val>
            <c:numRef>
              <c:f>'Muestra 7'!$O$33:$V$33</c:f>
              <c:numCache>
                <c:formatCode>0.00</c:formatCode>
                <c:ptCount val="8"/>
                <c:pt idx="0">
                  <c:v>4.2333333333333334</c:v>
                </c:pt>
                <c:pt idx="1">
                  <c:v>2.8666666666666667</c:v>
                </c:pt>
                <c:pt idx="2">
                  <c:v>2.8666666666666667</c:v>
                </c:pt>
                <c:pt idx="3">
                  <c:v>3.0666666666666669</c:v>
                </c:pt>
                <c:pt idx="4">
                  <c:v>1.9</c:v>
                </c:pt>
                <c:pt idx="5">
                  <c:v>1.7666666666666666</c:v>
                </c:pt>
                <c:pt idx="6">
                  <c:v>1.8333333333333333</c:v>
                </c:pt>
                <c:pt idx="7">
                  <c:v>2.5333333333333332</c:v>
                </c:pt>
              </c:numCache>
            </c:numRef>
          </c:val>
          <c:extLst>
            <c:ext xmlns:c16="http://schemas.microsoft.com/office/drawing/2014/chart" uri="{C3380CC4-5D6E-409C-BE32-E72D297353CC}">
              <c16:uniqueId val="{00000000-C420-4E3C-97EA-01DE0F6E1E96}"/>
            </c:ext>
          </c:extLst>
        </c:ser>
        <c:ser>
          <c:idx val="1"/>
          <c:order val="1"/>
          <c:tx>
            <c:strRef>
              <c:f>'Muestra 7'!$A$35</c:f>
              <c:strCache>
                <c:ptCount val="1"/>
                <c:pt idx="0">
                  <c:v>Experto/ Sommelier</c:v>
                </c:pt>
              </c:strCache>
            </c:strRef>
          </c:tx>
          <c:spPr>
            <a:ln w="25400" cap="rnd">
              <a:solidFill>
                <a:srgbClr val="0070C0"/>
              </a:solidFill>
              <a:round/>
            </a:ln>
            <a:effectLst/>
          </c:spPr>
          <c:marker>
            <c:symbol val="none"/>
          </c:marker>
          <c:val>
            <c:numRef>
              <c:f>'Muestra 7'!$O$41:$V$41</c:f>
              <c:numCache>
                <c:formatCode>0.00</c:formatCode>
                <c:ptCount val="8"/>
                <c:pt idx="0">
                  <c:v>4.5</c:v>
                </c:pt>
                <c:pt idx="1">
                  <c:v>3</c:v>
                </c:pt>
                <c:pt idx="2">
                  <c:v>2.5</c:v>
                </c:pt>
                <c:pt idx="3">
                  <c:v>3.5</c:v>
                </c:pt>
                <c:pt idx="4">
                  <c:v>1.5</c:v>
                </c:pt>
                <c:pt idx="5">
                  <c:v>1</c:v>
                </c:pt>
                <c:pt idx="6">
                  <c:v>1.5</c:v>
                </c:pt>
                <c:pt idx="7">
                  <c:v>2</c:v>
                </c:pt>
              </c:numCache>
            </c:numRef>
          </c:val>
          <c:extLst>
            <c:ext xmlns:c16="http://schemas.microsoft.com/office/drawing/2014/chart" uri="{C3380CC4-5D6E-409C-BE32-E72D297353CC}">
              <c16:uniqueId val="{00000001-C420-4E3C-97EA-01DE0F6E1E96}"/>
            </c:ext>
          </c:extLst>
        </c:ser>
        <c:ser>
          <c:idx val="2"/>
          <c:order val="2"/>
          <c:tx>
            <c:strRef>
              <c:f>'Muestra 7'!$A$43</c:f>
              <c:strCache>
                <c:ptCount val="1"/>
                <c:pt idx="0">
                  <c:v>Aficionado al whisky</c:v>
                </c:pt>
              </c:strCache>
            </c:strRef>
          </c:tx>
          <c:spPr>
            <a:ln w="25400" cap="rnd">
              <a:solidFill>
                <a:schemeClr val="accent3"/>
              </a:solidFill>
              <a:round/>
            </a:ln>
            <a:effectLst/>
          </c:spPr>
          <c:marker>
            <c:symbol val="none"/>
          </c:marker>
          <c:val>
            <c:numRef>
              <c:f>'Muestra 7'!$O$52:$V$52</c:f>
              <c:numCache>
                <c:formatCode>0.00</c:formatCode>
                <c:ptCount val="8"/>
                <c:pt idx="0">
                  <c:v>4.4285714285714288</c:v>
                </c:pt>
                <c:pt idx="1">
                  <c:v>3</c:v>
                </c:pt>
                <c:pt idx="2">
                  <c:v>1.8571428571428572</c:v>
                </c:pt>
                <c:pt idx="3">
                  <c:v>2.7142857142857144</c:v>
                </c:pt>
                <c:pt idx="4">
                  <c:v>2</c:v>
                </c:pt>
                <c:pt idx="5">
                  <c:v>2.8571428571428572</c:v>
                </c:pt>
                <c:pt idx="6">
                  <c:v>2</c:v>
                </c:pt>
                <c:pt idx="7">
                  <c:v>2.7142857142857144</c:v>
                </c:pt>
              </c:numCache>
            </c:numRef>
          </c:val>
          <c:extLst>
            <c:ext xmlns:c16="http://schemas.microsoft.com/office/drawing/2014/chart" uri="{C3380CC4-5D6E-409C-BE32-E72D297353CC}">
              <c16:uniqueId val="{00000002-C420-4E3C-97EA-01DE0F6E1E96}"/>
            </c:ext>
          </c:extLst>
        </c:ser>
        <c:ser>
          <c:idx val="3"/>
          <c:order val="3"/>
          <c:tx>
            <c:strRef>
              <c:f>'Muestra 7'!$A$54</c:f>
              <c:strCache>
                <c:ptCount val="1"/>
                <c:pt idx="0">
                  <c:v>Consumidor General de Destilados</c:v>
                </c:pt>
              </c:strCache>
            </c:strRef>
          </c:tx>
          <c:spPr>
            <a:ln w="25400" cap="rnd">
              <a:solidFill>
                <a:schemeClr val="accent4"/>
              </a:solidFill>
              <a:round/>
            </a:ln>
            <a:effectLst/>
          </c:spPr>
          <c:marker>
            <c:symbol val="none"/>
          </c:marker>
          <c:val>
            <c:numRef>
              <c:f>'Muestra 7'!$O$76:$V$76</c:f>
              <c:numCache>
                <c:formatCode>0.00</c:formatCode>
                <c:ptCount val="8"/>
                <c:pt idx="0">
                  <c:v>4.1052631578947372</c:v>
                </c:pt>
                <c:pt idx="1">
                  <c:v>2.7894736842105261</c:v>
                </c:pt>
                <c:pt idx="2">
                  <c:v>3.3157894736842106</c:v>
                </c:pt>
                <c:pt idx="3">
                  <c:v>3.1052631578947367</c:v>
                </c:pt>
                <c:pt idx="4">
                  <c:v>1.9473684210526316</c:v>
                </c:pt>
                <c:pt idx="5">
                  <c:v>1.5263157894736843</c:v>
                </c:pt>
                <c:pt idx="6">
                  <c:v>1.8421052631578947</c:v>
                </c:pt>
                <c:pt idx="7">
                  <c:v>2.5789473684210527</c:v>
                </c:pt>
              </c:numCache>
            </c:numRef>
          </c:val>
          <c:extLst>
            <c:ext xmlns:c16="http://schemas.microsoft.com/office/drawing/2014/chart" uri="{C3380CC4-5D6E-409C-BE32-E72D297353CC}">
              <c16:uniqueId val="{00000003-C420-4E3C-97EA-01DE0F6E1E96}"/>
            </c:ext>
          </c:extLst>
        </c:ser>
        <c:dLbls>
          <c:showLegendKey val="0"/>
          <c:showVal val="0"/>
          <c:showCatName val="0"/>
          <c:showSerName val="0"/>
          <c:showPercent val="0"/>
          <c:showBubbleSize val="0"/>
        </c:dLbls>
        <c:axId val="427634383"/>
        <c:axId val="427630063"/>
      </c:radarChart>
      <c:catAx>
        <c:axId val="427634383"/>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27630063"/>
        <c:crosses val="autoZero"/>
        <c:auto val="1"/>
        <c:lblAlgn val="ctr"/>
        <c:lblOffset val="100"/>
        <c:noMultiLvlLbl val="0"/>
      </c:catAx>
      <c:valAx>
        <c:axId val="4276300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27634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600" b="1"/>
              <a:t>Regusto-Final Caol Ila (12años)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manualLayout>
          <c:layoutTarget val="inner"/>
          <c:xMode val="edge"/>
          <c:yMode val="edge"/>
          <c:x val="0.15761213417926953"/>
          <c:y val="0.27981955991079405"/>
          <c:w val="0.42820148622456078"/>
          <c:h val="0.60171463027672456"/>
        </c:manualLayout>
      </c:layout>
      <c:radarChart>
        <c:radarStyle val="marker"/>
        <c:varyColors val="0"/>
        <c:ser>
          <c:idx val="0"/>
          <c:order val="0"/>
          <c:tx>
            <c:strRef>
              <c:f>'Muestra 7'!$A$33</c:f>
              <c:strCache>
                <c:ptCount val="1"/>
                <c:pt idx="0">
                  <c:v>Promedio</c:v>
                </c:pt>
              </c:strCache>
            </c:strRef>
          </c:tx>
          <c:spPr>
            <a:ln w="44450" cap="rnd">
              <a:solidFill>
                <a:srgbClr val="FF0000"/>
              </a:solidFill>
              <a:prstDash val="sysDash"/>
              <a:round/>
            </a:ln>
            <a:effectLst/>
          </c:spPr>
          <c:marker>
            <c:symbol val="none"/>
          </c:marker>
          <c:cat>
            <c:strRef>
              <c:f>'Muestra 7'!$X$1:$AD$1</c:f>
              <c:strCache>
                <c:ptCount val="7"/>
                <c:pt idx="0">
                  <c:v>Sensación en boca</c:v>
                </c:pt>
                <c:pt idx="1">
                  <c:v>Duración</c:v>
                </c:pt>
                <c:pt idx="2">
                  <c:v>Ahumado</c:v>
                </c:pt>
                <c:pt idx="3">
                  <c:v>Complejidad</c:v>
                </c:pt>
                <c:pt idx="4">
                  <c:v>Integración del ahumado con otros sabores</c:v>
                </c:pt>
                <c:pt idx="5">
                  <c:v>Armonía entre nariz, paladar y final.</c:v>
                </c:pt>
                <c:pt idx="6">
                  <c:v>Tomabilidad (enfocada en el ahumado)</c:v>
                </c:pt>
              </c:strCache>
            </c:strRef>
          </c:cat>
          <c:val>
            <c:numRef>
              <c:f>'Muestra 7'!$X$33:$AD$33</c:f>
              <c:numCache>
                <c:formatCode>0.00</c:formatCode>
                <c:ptCount val="7"/>
                <c:pt idx="0">
                  <c:v>2.5333333333333332</c:v>
                </c:pt>
                <c:pt idx="1">
                  <c:v>3.55</c:v>
                </c:pt>
                <c:pt idx="2">
                  <c:v>3.4666666666666668</c:v>
                </c:pt>
                <c:pt idx="3">
                  <c:v>2.6166666666666667</c:v>
                </c:pt>
                <c:pt idx="4">
                  <c:v>2.6</c:v>
                </c:pt>
                <c:pt idx="5">
                  <c:v>2.8</c:v>
                </c:pt>
                <c:pt idx="6">
                  <c:v>2.7</c:v>
                </c:pt>
              </c:numCache>
            </c:numRef>
          </c:val>
          <c:extLst>
            <c:ext xmlns:c16="http://schemas.microsoft.com/office/drawing/2014/chart" uri="{C3380CC4-5D6E-409C-BE32-E72D297353CC}">
              <c16:uniqueId val="{00000000-19C0-4454-B6F4-00C0AC57B7BE}"/>
            </c:ext>
          </c:extLst>
        </c:ser>
        <c:ser>
          <c:idx val="1"/>
          <c:order val="1"/>
          <c:tx>
            <c:strRef>
              <c:f>'Muestra 7'!$A$35</c:f>
              <c:strCache>
                <c:ptCount val="1"/>
                <c:pt idx="0">
                  <c:v>Experto/ Sommelier</c:v>
                </c:pt>
              </c:strCache>
            </c:strRef>
          </c:tx>
          <c:spPr>
            <a:ln w="25400" cap="rnd">
              <a:solidFill>
                <a:srgbClr val="0070C0"/>
              </a:solidFill>
              <a:round/>
            </a:ln>
            <a:effectLst/>
          </c:spPr>
          <c:marker>
            <c:symbol val="none"/>
          </c:marker>
          <c:val>
            <c:numRef>
              <c:f>'Muestra 7'!$X$41:$AD$41</c:f>
              <c:numCache>
                <c:formatCode>0.00</c:formatCode>
                <c:ptCount val="7"/>
                <c:pt idx="0">
                  <c:v>2.5</c:v>
                </c:pt>
                <c:pt idx="1">
                  <c:v>3.625</c:v>
                </c:pt>
                <c:pt idx="2">
                  <c:v>4</c:v>
                </c:pt>
                <c:pt idx="3">
                  <c:v>3.5</c:v>
                </c:pt>
                <c:pt idx="4">
                  <c:v>3.25</c:v>
                </c:pt>
                <c:pt idx="5">
                  <c:v>2.75</c:v>
                </c:pt>
                <c:pt idx="6">
                  <c:v>2.75</c:v>
                </c:pt>
              </c:numCache>
            </c:numRef>
          </c:val>
          <c:extLst>
            <c:ext xmlns:c16="http://schemas.microsoft.com/office/drawing/2014/chart" uri="{C3380CC4-5D6E-409C-BE32-E72D297353CC}">
              <c16:uniqueId val="{00000001-19C0-4454-B6F4-00C0AC57B7BE}"/>
            </c:ext>
          </c:extLst>
        </c:ser>
        <c:ser>
          <c:idx val="2"/>
          <c:order val="2"/>
          <c:tx>
            <c:strRef>
              <c:f>'Muestra 7'!$A$43</c:f>
              <c:strCache>
                <c:ptCount val="1"/>
                <c:pt idx="0">
                  <c:v>Aficionado al whisky</c:v>
                </c:pt>
              </c:strCache>
            </c:strRef>
          </c:tx>
          <c:spPr>
            <a:ln w="25400" cap="rnd">
              <a:solidFill>
                <a:schemeClr val="accent3"/>
              </a:solidFill>
              <a:round/>
            </a:ln>
            <a:effectLst/>
          </c:spPr>
          <c:marker>
            <c:symbol val="none"/>
          </c:marker>
          <c:val>
            <c:numRef>
              <c:f>'Muestra 7'!$X$52:$AD$52</c:f>
              <c:numCache>
                <c:formatCode>0.00</c:formatCode>
                <c:ptCount val="7"/>
                <c:pt idx="0">
                  <c:v>2.1428571428571428</c:v>
                </c:pt>
                <c:pt idx="1">
                  <c:v>3.4285714285714284</c:v>
                </c:pt>
                <c:pt idx="2">
                  <c:v>3.2857142857142856</c:v>
                </c:pt>
                <c:pt idx="3">
                  <c:v>2.7142857142857144</c:v>
                </c:pt>
                <c:pt idx="4">
                  <c:v>2.4285714285714284</c:v>
                </c:pt>
                <c:pt idx="5">
                  <c:v>3</c:v>
                </c:pt>
                <c:pt idx="6">
                  <c:v>2.8571428571428572</c:v>
                </c:pt>
              </c:numCache>
            </c:numRef>
          </c:val>
          <c:extLst>
            <c:ext xmlns:c16="http://schemas.microsoft.com/office/drawing/2014/chart" uri="{C3380CC4-5D6E-409C-BE32-E72D297353CC}">
              <c16:uniqueId val="{00000002-19C0-4454-B6F4-00C0AC57B7BE}"/>
            </c:ext>
          </c:extLst>
        </c:ser>
        <c:ser>
          <c:idx val="3"/>
          <c:order val="3"/>
          <c:tx>
            <c:strRef>
              <c:f>'Muestra 7'!$A$54</c:f>
              <c:strCache>
                <c:ptCount val="1"/>
                <c:pt idx="0">
                  <c:v>Consumidor General de Destilados</c:v>
                </c:pt>
              </c:strCache>
            </c:strRef>
          </c:tx>
          <c:spPr>
            <a:ln w="25400" cap="rnd">
              <a:solidFill>
                <a:schemeClr val="accent4"/>
              </a:solidFill>
              <a:round/>
            </a:ln>
            <a:effectLst/>
          </c:spPr>
          <c:marker>
            <c:symbol val="none"/>
          </c:marker>
          <c:val>
            <c:numRef>
              <c:f>'Muestra 7'!$X$76:$AD$76</c:f>
              <c:numCache>
                <c:formatCode>0.00</c:formatCode>
                <c:ptCount val="7"/>
                <c:pt idx="0">
                  <c:v>2.6842105263157894</c:v>
                </c:pt>
                <c:pt idx="1">
                  <c:v>3.5789473684210527</c:v>
                </c:pt>
                <c:pt idx="2">
                  <c:v>3.4210526315789473</c:v>
                </c:pt>
                <c:pt idx="3">
                  <c:v>2.3947368421052633</c:v>
                </c:pt>
                <c:pt idx="4">
                  <c:v>2.5263157894736841</c:v>
                </c:pt>
                <c:pt idx="5">
                  <c:v>2.736842105263158</c:v>
                </c:pt>
                <c:pt idx="6">
                  <c:v>2.6315789473684212</c:v>
                </c:pt>
              </c:numCache>
            </c:numRef>
          </c:val>
          <c:extLst>
            <c:ext xmlns:c16="http://schemas.microsoft.com/office/drawing/2014/chart" uri="{C3380CC4-5D6E-409C-BE32-E72D297353CC}">
              <c16:uniqueId val="{00000003-19C0-4454-B6F4-00C0AC57B7BE}"/>
            </c:ext>
          </c:extLst>
        </c:ser>
        <c:dLbls>
          <c:showLegendKey val="0"/>
          <c:showVal val="0"/>
          <c:showCatName val="0"/>
          <c:showSerName val="0"/>
          <c:showPercent val="0"/>
          <c:showBubbleSize val="0"/>
        </c:dLbls>
        <c:axId val="427635823"/>
        <c:axId val="427638223"/>
      </c:radarChart>
      <c:catAx>
        <c:axId val="427635823"/>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27638223"/>
        <c:crosses val="autoZero"/>
        <c:auto val="1"/>
        <c:lblAlgn val="ctr"/>
        <c:lblOffset val="100"/>
        <c:noMultiLvlLbl val="0"/>
      </c:catAx>
      <c:valAx>
        <c:axId val="4276382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27635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Aroma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radarChart>
        <c:radarStyle val="marker"/>
        <c:varyColors val="0"/>
        <c:ser>
          <c:idx val="0"/>
          <c:order val="0"/>
          <c:tx>
            <c:strRef>
              <c:f>Comparación!$A$3</c:f>
              <c:strCache>
                <c:ptCount val="1"/>
                <c:pt idx="0">
                  <c:v>C-70</c:v>
                </c:pt>
              </c:strCache>
            </c:strRef>
          </c:tx>
          <c:spPr>
            <a:ln w="28575" cap="rnd">
              <a:solidFill>
                <a:schemeClr val="accent1"/>
              </a:solidFill>
              <a:round/>
            </a:ln>
            <a:effectLst/>
          </c:spPr>
          <c:marker>
            <c:symbol val="none"/>
          </c:marker>
          <c:cat>
            <c:strRef>
              <c:f>Comparación!$B$1:$J$1</c:f>
              <c:strCache>
                <c:ptCount val="9"/>
                <c:pt idx="0">
                  <c:v>Intensidad Ahumado</c:v>
                </c:pt>
                <c:pt idx="1">
                  <c:v> Medicinal</c:v>
                </c:pt>
                <c:pt idx="2">
                  <c:v> Terroso</c:v>
                </c:pt>
                <c:pt idx="3">
                  <c:v>Amaderado</c:v>
                </c:pt>
                <c:pt idx="4">
                  <c:v>Café</c:v>
                </c:pt>
                <c:pt idx="5">
                  <c:v>Otro</c:v>
                </c:pt>
                <c:pt idx="6">
                  <c:v>Frutal</c:v>
                </c:pt>
                <c:pt idx="7">
                  <c:v>Vainilla</c:v>
                </c:pt>
                <c:pt idx="8">
                  <c:v>Cereal </c:v>
                </c:pt>
              </c:strCache>
            </c:strRef>
          </c:cat>
          <c:val>
            <c:numRef>
              <c:f>Comparación!$B$3:$J$3</c:f>
              <c:numCache>
                <c:formatCode>0.00</c:formatCode>
                <c:ptCount val="9"/>
                <c:pt idx="0">
                  <c:v>2.225806451612903</c:v>
                </c:pt>
                <c:pt idx="1">
                  <c:v>1.1935483870967742</c:v>
                </c:pt>
                <c:pt idx="2">
                  <c:v>1.064516129032258</c:v>
                </c:pt>
                <c:pt idx="3">
                  <c:v>1.6451612903225807</c:v>
                </c:pt>
                <c:pt idx="4">
                  <c:v>0.90322580645161288</c:v>
                </c:pt>
                <c:pt idx="5">
                  <c:v>0.64516129032258063</c:v>
                </c:pt>
                <c:pt idx="6">
                  <c:v>2.225806451612903</c:v>
                </c:pt>
                <c:pt idx="7">
                  <c:v>1.8387096774193548</c:v>
                </c:pt>
                <c:pt idx="8">
                  <c:v>2.096774193548387</c:v>
                </c:pt>
              </c:numCache>
            </c:numRef>
          </c:val>
          <c:extLst>
            <c:ext xmlns:c16="http://schemas.microsoft.com/office/drawing/2014/chart" uri="{C3380CC4-5D6E-409C-BE32-E72D297353CC}">
              <c16:uniqueId val="{00000000-744F-4EEF-958D-63169206E2A4}"/>
            </c:ext>
          </c:extLst>
        </c:ser>
        <c:ser>
          <c:idx val="1"/>
          <c:order val="1"/>
          <c:tx>
            <c:strRef>
              <c:f>Comparación!$A$4</c:f>
              <c:strCache>
                <c:ptCount val="1"/>
                <c:pt idx="0">
                  <c:v>B1</c:v>
                </c:pt>
              </c:strCache>
            </c:strRef>
          </c:tx>
          <c:spPr>
            <a:ln w="28575" cap="rnd">
              <a:solidFill>
                <a:schemeClr val="accent2"/>
              </a:solidFill>
              <a:round/>
            </a:ln>
            <a:effectLst/>
          </c:spPr>
          <c:marker>
            <c:symbol val="none"/>
          </c:marker>
          <c:cat>
            <c:strRef>
              <c:f>Comparación!$B$1:$J$1</c:f>
              <c:strCache>
                <c:ptCount val="9"/>
                <c:pt idx="0">
                  <c:v>Intensidad Ahumado</c:v>
                </c:pt>
                <c:pt idx="1">
                  <c:v> Medicinal</c:v>
                </c:pt>
                <c:pt idx="2">
                  <c:v> Terroso</c:v>
                </c:pt>
                <c:pt idx="3">
                  <c:v>Amaderado</c:v>
                </c:pt>
                <c:pt idx="4">
                  <c:v>Café</c:v>
                </c:pt>
                <c:pt idx="5">
                  <c:v>Otro</c:v>
                </c:pt>
                <c:pt idx="6">
                  <c:v>Frutal</c:v>
                </c:pt>
                <c:pt idx="7">
                  <c:v>Vainilla</c:v>
                </c:pt>
                <c:pt idx="8">
                  <c:v>Cereal </c:v>
                </c:pt>
              </c:strCache>
            </c:strRef>
          </c:cat>
          <c:val>
            <c:numRef>
              <c:f>Comparación!$B$4:$J$4</c:f>
              <c:numCache>
                <c:formatCode>0.00</c:formatCode>
                <c:ptCount val="9"/>
                <c:pt idx="0">
                  <c:v>2.7</c:v>
                </c:pt>
                <c:pt idx="1">
                  <c:v>1.1333333333333333</c:v>
                </c:pt>
                <c:pt idx="2">
                  <c:v>1.3333333333333333</c:v>
                </c:pt>
                <c:pt idx="3">
                  <c:v>2.15</c:v>
                </c:pt>
                <c:pt idx="4">
                  <c:v>1.1166666666666667</c:v>
                </c:pt>
                <c:pt idx="5">
                  <c:v>0.56666666666666665</c:v>
                </c:pt>
                <c:pt idx="6">
                  <c:v>2.2666666666666666</c:v>
                </c:pt>
                <c:pt idx="7">
                  <c:v>2.5333333333333332</c:v>
                </c:pt>
                <c:pt idx="8">
                  <c:v>1.8833333333333333</c:v>
                </c:pt>
              </c:numCache>
            </c:numRef>
          </c:val>
          <c:extLst>
            <c:ext xmlns:c16="http://schemas.microsoft.com/office/drawing/2014/chart" uri="{C3380CC4-5D6E-409C-BE32-E72D297353CC}">
              <c16:uniqueId val="{00000001-744F-4EEF-958D-63169206E2A4}"/>
            </c:ext>
          </c:extLst>
        </c:ser>
        <c:ser>
          <c:idx val="2"/>
          <c:order val="2"/>
          <c:tx>
            <c:strRef>
              <c:f>Comparación!$A$5</c:f>
              <c:strCache>
                <c:ptCount val="1"/>
                <c:pt idx="0">
                  <c:v>H76</c:v>
                </c:pt>
              </c:strCache>
            </c:strRef>
          </c:tx>
          <c:spPr>
            <a:ln w="28575" cap="rnd">
              <a:solidFill>
                <a:schemeClr val="accent6"/>
              </a:solidFill>
              <a:round/>
            </a:ln>
            <a:effectLst/>
          </c:spPr>
          <c:marker>
            <c:symbol val="none"/>
          </c:marker>
          <c:cat>
            <c:strRef>
              <c:f>Comparación!$B$1:$J$1</c:f>
              <c:strCache>
                <c:ptCount val="9"/>
                <c:pt idx="0">
                  <c:v>Intensidad Ahumado</c:v>
                </c:pt>
                <c:pt idx="1">
                  <c:v> Medicinal</c:v>
                </c:pt>
                <c:pt idx="2">
                  <c:v> Terroso</c:v>
                </c:pt>
                <c:pt idx="3">
                  <c:v>Amaderado</c:v>
                </c:pt>
                <c:pt idx="4">
                  <c:v>Café</c:v>
                </c:pt>
                <c:pt idx="5">
                  <c:v>Otro</c:v>
                </c:pt>
                <c:pt idx="6">
                  <c:v>Frutal</c:v>
                </c:pt>
                <c:pt idx="7">
                  <c:v>Vainilla</c:v>
                </c:pt>
                <c:pt idx="8">
                  <c:v>Cereal </c:v>
                </c:pt>
              </c:strCache>
            </c:strRef>
          </c:cat>
          <c:val>
            <c:numRef>
              <c:f>Comparación!$B$5:$J$5</c:f>
              <c:numCache>
                <c:formatCode>0.00</c:formatCode>
                <c:ptCount val="9"/>
                <c:pt idx="0">
                  <c:v>2.4166666666666665</c:v>
                </c:pt>
                <c:pt idx="1">
                  <c:v>1.25</c:v>
                </c:pt>
                <c:pt idx="2">
                  <c:v>1.1333333333333333</c:v>
                </c:pt>
                <c:pt idx="3">
                  <c:v>1.8</c:v>
                </c:pt>
                <c:pt idx="4">
                  <c:v>0.8666666666666667</c:v>
                </c:pt>
                <c:pt idx="5">
                  <c:v>0.7</c:v>
                </c:pt>
                <c:pt idx="6">
                  <c:v>2.2666666666666666</c:v>
                </c:pt>
                <c:pt idx="7">
                  <c:v>1.9666666666666666</c:v>
                </c:pt>
                <c:pt idx="8">
                  <c:v>2.0666666666666669</c:v>
                </c:pt>
              </c:numCache>
            </c:numRef>
          </c:val>
          <c:extLst>
            <c:ext xmlns:c16="http://schemas.microsoft.com/office/drawing/2014/chart" uri="{C3380CC4-5D6E-409C-BE32-E72D297353CC}">
              <c16:uniqueId val="{00000002-744F-4EEF-958D-63169206E2A4}"/>
            </c:ext>
          </c:extLst>
        </c:ser>
        <c:ser>
          <c:idx val="3"/>
          <c:order val="3"/>
          <c:tx>
            <c:strRef>
              <c:f>Comparación!$A$6</c:f>
              <c:strCache>
                <c:ptCount val="1"/>
                <c:pt idx="0">
                  <c:v>Dalwhinnie Winter's Gold (10 años)</c:v>
                </c:pt>
              </c:strCache>
            </c:strRef>
          </c:tx>
          <c:spPr>
            <a:ln w="28575" cap="rnd">
              <a:solidFill>
                <a:schemeClr val="accent3"/>
              </a:solidFill>
              <a:round/>
            </a:ln>
            <a:effectLst/>
          </c:spPr>
          <c:marker>
            <c:symbol val="none"/>
          </c:marker>
          <c:cat>
            <c:strRef>
              <c:f>Comparación!$B$1:$J$1</c:f>
              <c:strCache>
                <c:ptCount val="9"/>
                <c:pt idx="0">
                  <c:v>Intensidad Ahumado</c:v>
                </c:pt>
                <c:pt idx="1">
                  <c:v> Medicinal</c:v>
                </c:pt>
                <c:pt idx="2">
                  <c:v> Terroso</c:v>
                </c:pt>
                <c:pt idx="3">
                  <c:v>Amaderado</c:v>
                </c:pt>
                <c:pt idx="4">
                  <c:v>Café</c:v>
                </c:pt>
                <c:pt idx="5">
                  <c:v>Otro</c:v>
                </c:pt>
                <c:pt idx="6">
                  <c:v>Frutal</c:v>
                </c:pt>
                <c:pt idx="7">
                  <c:v>Vainilla</c:v>
                </c:pt>
                <c:pt idx="8">
                  <c:v>Cereal </c:v>
                </c:pt>
              </c:strCache>
            </c:strRef>
          </c:cat>
          <c:val>
            <c:numRef>
              <c:f>Comparación!$B$6:$J$6</c:f>
              <c:numCache>
                <c:formatCode>0.00</c:formatCode>
                <c:ptCount val="9"/>
                <c:pt idx="0">
                  <c:v>2.6</c:v>
                </c:pt>
                <c:pt idx="1">
                  <c:v>1.5166666666666666</c:v>
                </c:pt>
                <c:pt idx="2">
                  <c:v>1.2</c:v>
                </c:pt>
                <c:pt idx="3">
                  <c:v>2.0833333333333335</c:v>
                </c:pt>
                <c:pt idx="4">
                  <c:v>1.2166666666666666</c:v>
                </c:pt>
                <c:pt idx="5">
                  <c:v>0.9</c:v>
                </c:pt>
                <c:pt idx="6">
                  <c:v>2.4333333333333331</c:v>
                </c:pt>
                <c:pt idx="7">
                  <c:v>2.1333333333333333</c:v>
                </c:pt>
                <c:pt idx="8">
                  <c:v>1.9333333333333333</c:v>
                </c:pt>
              </c:numCache>
            </c:numRef>
          </c:val>
          <c:extLst>
            <c:ext xmlns:c16="http://schemas.microsoft.com/office/drawing/2014/chart" uri="{C3380CC4-5D6E-409C-BE32-E72D297353CC}">
              <c16:uniqueId val="{00000003-744F-4EEF-958D-63169206E2A4}"/>
            </c:ext>
          </c:extLst>
        </c:ser>
        <c:dLbls>
          <c:showLegendKey val="0"/>
          <c:showVal val="0"/>
          <c:showCatName val="0"/>
          <c:showSerName val="0"/>
          <c:showPercent val="0"/>
          <c:showBubbleSize val="0"/>
        </c:dLbls>
        <c:axId val="427616143"/>
        <c:axId val="427609423"/>
      </c:radarChart>
      <c:catAx>
        <c:axId val="427616143"/>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27609423"/>
        <c:crosses val="autoZero"/>
        <c:auto val="1"/>
        <c:lblAlgn val="ctr"/>
        <c:lblOffset val="100"/>
        <c:noMultiLvlLbl val="0"/>
      </c:catAx>
      <c:valAx>
        <c:axId val="427609423"/>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2761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Sabor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radarChart>
        <c:radarStyle val="marker"/>
        <c:varyColors val="0"/>
        <c:ser>
          <c:idx val="0"/>
          <c:order val="0"/>
          <c:tx>
            <c:strRef>
              <c:f>Comparación!$K$3</c:f>
              <c:strCache>
                <c:ptCount val="1"/>
                <c:pt idx="0">
                  <c:v>C-70</c:v>
                </c:pt>
              </c:strCache>
            </c:strRef>
          </c:tx>
          <c:spPr>
            <a:ln w="28575" cap="rnd">
              <a:solidFill>
                <a:schemeClr val="accent1"/>
              </a:solidFill>
              <a:round/>
            </a:ln>
            <a:effectLst/>
          </c:spPr>
          <c:marker>
            <c:symbol val="none"/>
          </c:marker>
          <c:cat>
            <c:strRef>
              <c:f>Comparación!$L$1:$S$1</c:f>
              <c:strCache>
                <c:ptCount val="8"/>
                <c:pt idx="0">
                  <c:v>Intensidad de ahumado
</c:v>
                </c:pt>
                <c:pt idx="1">
                  <c:v> Medicinal</c:v>
                </c:pt>
                <c:pt idx="2">
                  <c:v> Terroso</c:v>
                </c:pt>
                <c:pt idx="3">
                  <c:v>Amaderado</c:v>
                </c:pt>
                <c:pt idx="4">
                  <c:v>Café</c:v>
                </c:pt>
                <c:pt idx="5">
                  <c:v>Frutal</c:v>
                </c:pt>
                <c:pt idx="6">
                  <c:v>Vainilla</c:v>
                </c:pt>
                <c:pt idx="7">
                  <c:v>Cereal </c:v>
                </c:pt>
              </c:strCache>
            </c:strRef>
          </c:cat>
          <c:val>
            <c:numRef>
              <c:f>Comparación!$L$3:$S$3</c:f>
              <c:numCache>
                <c:formatCode>0.00</c:formatCode>
                <c:ptCount val="8"/>
                <c:pt idx="0">
                  <c:v>2.129032258064516</c:v>
                </c:pt>
                <c:pt idx="1">
                  <c:v>2.193548387096774</c:v>
                </c:pt>
                <c:pt idx="2">
                  <c:v>1.8709677419354838</c:v>
                </c:pt>
                <c:pt idx="3">
                  <c:v>2.193548387096774</c:v>
                </c:pt>
                <c:pt idx="4">
                  <c:v>1.5806451612903225</c:v>
                </c:pt>
                <c:pt idx="5">
                  <c:v>2.4516129032258065</c:v>
                </c:pt>
                <c:pt idx="6">
                  <c:v>1.903225806451613</c:v>
                </c:pt>
                <c:pt idx="7">
                  <c:v>1.6451612903225807</c:v>
                </c:pt>
              </c:numCache>
            </c:numRef>
          </c:val>
          <c:extLst>
            <c:ext xmlns:c16="http://schemas.microsoft.com/office/drawing/2014/chart" uri="{C3380CC4-5D6E-409C-BE32-E72D297353CC}">
              <c16:uniqueId val="{00000000-34E6-466D-8792-715A6950EEC8}"/>
            </c:ext>
          </c:extLst>
        </c:ser>
        <c:ser>
          <c:idx val="1"/>
          <c:order val="1"/>
          <c:tx>
            <c:strRef>
              <c:f>Comparación!$K$4</c:f>
              <c:strCache>
                <c:ptCount val="1"/>
                <c:pt idx="0">
                  <c:v>B1</c:v>
                </c:pt>
              </c:strCache>
            </c:strRef>
          </c:tx>
          <c:spPr>
            <a:ln w="28575" cap="rnd">
              <a:solidFill>
                <a:schemeClr val="accent2"/>
              </a:solidFill>
              <a:round/>
            </a:ln>
            <a:effectLst/>
          </c:spPr>
          <c:marker>
            <c:symbol val="none"/>
          </c:marker>
          <c:cat>
            <c:strRef>
              <c:f>Comparación!$L$1:$S$1</c:f>
              <c:strCache>
                <c:ptCount val="8"/>
                <c:pt idx="0">
                  <c:v>Intensidad de ahumado
</c:v>
                </c:pt>
                <c:pt idx="1">
                  <c:v> Medicinal</c:v>
                </c:pt>
                <c:pt idx="2">
                  <c:v> Terroso</c:v>
                </c:pt>
                <c:pt idx="3">
                  <c:v>Amaderado</c:v>
                </c:pt>
                <c:pt idx="4">
                  <c:v>Café</c:v>
                </c:pt>
                <c:pt idx="5">
                  <c:v>Frutal</c:v>
                </c:pt>
                <c:pt idx="6">
                  <c:v>Vainilla</c:v>
                </c:pt>
                <c:pt idx="7">
                  <c:v>Cereal </c:v>
                </c:pt>
              </c:strCache>
            </c:strRef>
          </c:cat>
          <c:val>
            <c:numRef>
              <c:f>Comparación!$L$4:$S$4</c:f>
              <c:numCache>
                <c:formatCode>0.00</c:formatCode>
                <c:ptCount val="8"/>
                <c:pt idx="0">
                  <c:v>2.7333333333333334</c:v>
                </c:pt>
                <c:pt idx="1">
                  <c:v>1.9</c:v>
                </c:pt>
                <c:pt idx="2">
                  <c:v>2</c:v>
                </c:pt>
                <c:pt idx="3">
                  <c:v>2.7666666666666666</c:v>
                </c:pt>
                <c:pt idx="4">
                  <c:v>2.1666666666666665</c:v>
                </c:pt>
                <c:pt idx="5">
                  <c:v>1.9</c:v>
                </c:pt>
                <c:pt idx="6">
                  <c:v>2.5333333333333332</c:v>
                </c:pt>
                <c:pt idx="7">
                  <c:v>2.0333333333333332</c:v>
                </c:pt>
              </c:numCache>
            </c:numRef>
          </c:val>
          <c:extLst>
            <c:ext xmlns:c16="http://schemas.microsoft.com/office/drawing/2014/chart" uri="{C3380CC4-5D6E-409C-BE32-E72D297353CC}">
              <c16:uniqueId val="{00000001-34E6-466D-8792-715A6950EEC8}"/>
            </c:ext>
          </c:extLst>
        </c:ser>
        <c:ser>
          <c:idx val="2"/>
          <c:order val="2"/>
          <c:tx>
            <c:strRef>
              <c:f>Comparación!$K$5</c:f>
              <c:strCache>
                <c:ptCount val="1"/>
                <c:pt idx="0">
                  <c:v>H76</c:v>
                </c:pt>
              </c:strCache>
            </c:strRef>
          </c:tx>
          <c:spPr>
            <a:ln w="28575" cap="rnd">
              <a:solidFill>
                <a:schemeClr val="accent6"/>
              </a:solidFill>
              <a:round/>
            </a:ln>
            <a:effectLst/>
          </c:spPr>
          <c:marker>
            <c:symbol val="none"/>
          </c:marker>
          <c:cat>
            <c:strRef>
              <c:f>Comparación!$L$1:$S$1</c:f>
              <c:strCache>
                <c:ptCount val="8"/>
                <c:pt idx="0">
                  <c:v>Intensidad de ahumado
</c:v>
                </c:pt>
                <c:pt idx="1">
                  <c:v> Medicinal</c:v>
                </c:pt>
                <c:pt idx="2">
                  <c:v> Terroso</c:v>
                </c:pt>
                <c:pt idx="3">
                  <c:v>Amaderado</c:v>
                </c:pt>
                <c:pt idx="4">
                  <c:v>Café</c:v>
                </c:pt>
                <c:pt idx="5">
                  <c:v>Frutal</c:v>
                </c:pt>
                <c:pt idx="6">
                  <c:v>Vainilla</c:v>
                </c:pt>
                <c:pt idx="7">
                  <c:v>Cereal </c:v>
                </c:pt>
              </c:strCache>
            </c:strRef>
          </c:cat>
          <c:val>
            <c:numRef>
              <c:f>Comparación!$L$5:$S$5</c:f>
              <c:numCache>
                <c:formatCode>0.00</c:formatCode>
                <c:ptCount val="8"/>
                <c:pt idx="0">
                  <c:v>2.5333333333333332</c:v>
                </c:pt>
                <c:pt idx="1">
                  <c:v>2.0666666666666669</c:v>
                </c:pt>
                <c:pt idx="2">
                  <c:v>1.7666666666666666</c:v>
                </c:pt>
                <c:pt idx="3">
                  <c:v>2.2999999999999998</c:v>
                </c:pt>
                <c:pt idx="4">
                  <c:v>1.7</c:v>
                </c:pt>
                <c:pt idx="5">
                  <c:v>1.9833333333333334</c:v>
                </c:pt>
                <c:pt idx="6">
                  <c:v>1.9666666666666666</c:v>
                </c:pt>
                <c:pt idx="7">
                  <c:v>2.1666666666666665</c:v>
                </c:pt>
              </c:numCache>
            </c:numRef>
          </c:val>
          <c:extLst>
            <c:ext xmlns:c16="http://schemas.microsoft.com/office/drawing/2014/chart" uri="{C3380CC4-5D6E-409C-BE32-E72D297353CC}">
              <c16:uniqueId val="{00000002-34E6-466D-8792-715A6950EEC8}"/>
            </c:ext>
          </c:extLst>
        </c:ser>
        <c:ser>
          <c:idx val="3"/>
          <c:order val="3"/>
          <c:tx>
            <c:strRef>
              <c:f>Comparación!$K$6</c:f>
              <c:strCache>
                <c:ptCount val="1"/>
                <c:pt idx="0">
                  <c:v>Dalwhinnie Winter's Gold (10 años)</c:v>
                </c:pt>
              </c:strCache>
            </c:strRef>
          </c:tx>
          <c:spPr>
            <a:ln w="28575" cap="rnd">
              <a:solidFill>
                <a:schemeClr val="accent3"/>
              </a:solidFill>
              <a:round/>
            </a:ln>
            <a:effectLst/>
          </c:spPr>
          <c:marker>
            <c:symbol val="none"/>
          </c:marker>
          <c:cat>
            <c:strRef>
              <c:f>Comparación!$L$1:$S$1</c:f>
              <c:strCache>
                <c:ptCount val="8"/>
                <c:pt idx="0">
                  <c:v>Intensidad de ahumado
</c:v>
                </c:pt>
                <c:pt idx="1">
                  <c:v> Medicinal</c:v>
                </c:pt>
                <c:pt idx="2">
                  <c:v> Terroso</c:v>
                </c:pt>
                <c:pt idx="3">
                  <c:v>Amaderado</c:v>
                </c:pt>
                <c:pt idx="4">
                  <c:v>Café</c:v>
                </c:pt>
                <c:pt idx="5">
                  <c:v>Frutal</c:v>
                </c:pt>
                <c:pt idx="6">
                  <c:v>Vainilla</c:v>
                </c:pt>
                <c:pt idx="7">
                  <c:v>Cereal </c:v>
                </c:pt>
              </c:strCache>
            </c:strRef>
          </c:cat>
          <c:val>
            <c:numRef>
              <c:f>Comparación!$L$6:$S$6</c:f>
              <c:numCache>
                <c:formatCode>0.00</c:formatCode>
                <c:ptCount val="8"/>
                <c:pt idx="0">
                  <c:v>3.3333333333333335</c:v>
                </c:pt>
                <c:pt idx="1">
                  <c:v>2.3666666666666667</c:v>
                </c:pt>
                <c:pt idx="2">
                  <c:v>2.5</c:v>
                </c:pt>
                <c:pt idx="3">
                  <c:v>3.2666666666666666</c:v>
                </c:pt>
                <c:pt idx="4">
                  <c:v>1.8333333333333333</c:v>
                </c:pt>
                <c:pt idx="5">
                  <c:v>2.2666666666666666</c:v>
                </c:pt>
                <c:pt idx="6">
                  <c:v>2.2999999999999998</c:v>
                </c:pt>
                <c:pt idx="7">
                  <c:v>2.2000000000000002</c:v>
                </c:pt>
              </c:numCache>
            </c:numRef>
          </c:val>
          <c:extLst>
            <c:ext xmlns:c16="http://schemas.microsoft.com/office/drawing/2014/chart" uri="{C3380CC4-5D6E-409C-BE32-E72D297353CC}">
              <c16:uniqueId val="{00000003-34E6-466D-8792-715A6950EEC8}"/>
            </c:ext>
          </c:extLst>
        </c:ser>
        <c:dLbls>
          <c:showLegendKey val="0"/>
          <c:showVal val="0"/>
          <c:showCatName val="0"/>
          <c:showSerName val="0"/>
          <c:showPercent val="0"/>
          <c:showBubbleSize val="0"/>
        </c:dLbls>
        <c:axId val="628996703"/>
        <c:axId val="629008223"/>
      </c:radarChart>
      <c:catAx>
        <c:axId val="628996703"/>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629008223"/>
        <c:crosses val="autoZero"/>
        <c:auto val="1"/>
        <c:lblAlgn val="ctr"/>
        <c:lblOffset val="100"/>
        <c:noMultiLvlLbl val="0"/>
      </c:catAx>
      <c:valAx>
        <c:axId val="629008223"/>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628996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Regusto-Final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manualLayout>
          <c:layoutTarget val="inner"/>
          <c:xMode val="edge"/>
          <c:yMode val="edge"/>
          <c:x val="0.21313254593175854"/>
          <c:y val="0.24375182268883061"/>
          <c:w val="0.34388670166229224"/>
          <c:h val="0.57314450277048701"/>
        </c:manualLayout>
      </c:layout>
      <c:radarChart>
        <c:radarStyle val="marker"/>
        <c:varyColors val="0"/>
        <c:ser>
          <c:idx val="0"/>
          <c:order val="0"/>
          <c:tx>
            <c:strRef>
              <c:f>Comparación!$T$3</c:f>
              <c:strCache>
                <c:ptCount val="1"/>
                <c:pt idx="0">
                  <c:v>C-70</c:v>
                </c:pt>
              </c:strCache>
            </c:strRef>
          </c:tx>
          <c:spPr>
            <a:ln w="28575" cap="rnd">
              <a:solidFill>
                <a:schemeClr val="accent1"/>
              </a:solidFill>
              <a:round/>
            </a:ln>
            <a:effectLst/>
          </c:spPr>
          <c:marker>
            <c:symbol val="none"/>
          </c:marker>
          <c:cat>
            <c:strRef>
              <c:f>Comparación!$U$1:$AA$1</c:f>
              <c:strCache>
                <c:ptCount val="7"/>
                <c:pt idx="0">
                  <c:v>Sensación en boca</c:v>
                </c:pt>
                <c:pt idx="1">
                  <c:v>Duración</c:v>
                </c:pt>
                <c:pt idx="2">
                  <c:v>Ahumado</c:v>
                </c:pt>
                <c:pt idx="3">
                  <c:v>Complejidad</c:v>
                </c:pt>
                <c:pt idx="4">
                  <c:v>Integración del ahumado con otros sabores</c:v>
                </c:pt>
                <c:pt idx="5">
                  <c:v>Armonía entre nariz, paladar y final.</c:v>
                </c:pt>
                <c:pt idx="6">
                  <c:v>Tomabilidad (enfocada en el ahumado)</c:v>
                </c:pt>
              </c:strCache>
            </c:strRef>
          </c:cat>
          <c:val>
            <c:numRef>
              <c:f>Comparación!$U$3:$AA$3</c:f>
              <c:numCache>
                <c:formatCode>0.00</c:formatCode>
                <c:ptCount val="7"/>
                <c:pt idx="0">
                  <c:v>2.5806451612903225</c:v>
                </c:pt>
                <c:pt idx="1">
                  <c:v>2.5483870967741935</c:v>
                </c:pt>
                <c:pt idx="2">
                  <c:v>1.4193548387096775</c:v>
                </c:pt>
                <c:pt idx="3">
                  <c:v>1.7419354838709677</c:v>
                </c:pt>
                <c:pt idx="4">
                  <c:v>3.5806451612903225</c:v>
                </c:pt>
                <c:pt idx="5">
                  <c:v>2.774193548387097</c:v>
                </c:pt>
                <c:pt idx="6">
                  <c:v>3.225806451612903</c:v>
                </c:pt>
              </c:numCache>
            </c:numRef>
          </c:val>
          <c:extLst>
            <c:ext xmlns:c16="http://schemas.microsoft.com/office/drawing/2014/chart" uri="{C3380CC4-5D6E-409C-BE32-E72D297353CC}">
              <c16:uniqueId val="{00000000-3A7D-4570-88C0-A6FDDA41A9AF}"/>
            </c:ext>
          </c:extLst>
        </c:ser>
        <c:ser>
          <c:idx val="1"/>
          <c:order val="1"/>
          <c:tx>
            <c:strRef>
              <c:f>Comparación!$T$4</c:f>
              <c:strCache>
                <c:ptCount val="1"/>
                <c:pt idx="0">
                  <c:v>B1</c:v>
                </c:pt>
              </c:strCache>
            </c:strRef>
          </c:tx>
          <c:spPr>
            <a:ln w="28575" cap="rnd">
              <a:solidFill>
                <a:schemeClr val="accent2"/>
              </a:solidFill>
              <a:round/>
            </a:ln>
            <a:effectLst/>
          </c:spPr>
          <c:marker>
            <c:symbol val="none"/>
          </c:marker>
          <c:cat>
            <c:strRef>
              <c:f>Comparación!$U$1:$AA$1</c:f>
              <c:strCache>
                <c:ptCount val="7"/>
                <c:pt idx="0">
                  <c:v>Sensación en boca</c:v>
                </c:pt>
                <c:pt idx="1">
                  <c:v>Duración</c:v>
                </c:pt>
                <c:pt idx="2">
                  <c:v>Ahumado</c:v>
                </c:pt>
                <c:pt idx="3">
                  <c:v>Complejidad</c:v>
                </c:pt>
                <c:pt idx="4">
                  <c:v>Integración del ahumado con otros sabores</c:v>
                </c:pt>
                <c:pt idx="5">
                  <c:v>Armonía entre nariz, paladar y final.</c:v>
                </c:pt>
                <c:pt idx="6">
                  <c:v>Tomabilidad (enfocada en el ahumado)</c:v>
                </c:pt>
              </c:strCache>
            </c:strRef>
          </c:cat>
          <c:val>
            <c:numRef>
              <c:f>Comparación!$U$4:$AA$4</c:f>
              <c:numCache>
                <c:formatCode>0.00</c:formatCode>
                <c:ptCount val="7"/>
                <c:pt idx="0">
                  <c:v>3.1333333333333333</c:v>
                </c:pt>
                <c:pt idx="1">
                  <c:v>2.7333333333333334</c:v>
                </c:pt>
                <c:pt idx="2">
                  <c:v>2</c:v>
                </c:pt>
                <c:pt idx="3">
                  <c:v>1.8666666666666667</c:v>
                </c:pt>
                <c:pt idx="4">
                  <c:v>3.0333333333333332</c:v>
                </c:pt>
                <c:pt idx="5">
                  <c:v>3.1333333333333333</c:v>
                </c:pt>
                <c:pt idx="6">
                  <c:v>3.1666666666666665</c:v>
                </c:pt>
              </c:numCache>
            </c:numRef>
          </c:val>
          <c:extLst>
            <c:ext xmlns:c16="http://schemas.microsoft.com/office/drawing/2014/chart" uri="{C3380CC4-5D6E-409C-BE32-E72D297353CC}">
              <c16:uniqueId val="{00000001-3A7D-4570-88C0-A6FDDA41A9AF}"/>
            </c:ext>
          </c:extLst>
        </c:ser>
        <c:ser>
          <c:idx val="2"/>
          <c:order val="2"/>
          <c:tx>
            <c:strRef>
              <c:f>Comparación!$T$5</c:f>
              <c:strCache>
                <c:ptCount val="1"/>
                <c:pt idx="0">
                  <c:v>H76</c:v>
                </c:pt>
              </c:strCache>
            </c:strRef>
          </c:tx>
          <c:spPr>
            <a:ln w="28575" cap="rnd">
              <a:solidFill>
                <a:schemeClr val="accent6"/>
              </a:solidFill>
              <a:round/>
            </a:ln>
            <a:effectLst/>
          </c:spPr>
          <c:marker>
            <c:symbol val="none"/>
          </c:marker>
          <c:cat>
            <c:strRef>
              <c:f>Comparación!$U$1:$AA$1</c:f>
              <c:strCache>
                <c:ptCount val="7"/>
                <c:pt idx="0">
                  <c:v>Sensación en boca</c:v>
                </c:pt>
                <c:pt idx="1">
                  <c:v>Duración</c:v>
                </c:pt>
                <c:pt idx="2">
                  <c:v>Ahumado</c:v>
                </c:pt>
                <c:pt idx="3">
                  <c:v>Complejidad</c:v>
                </c:pt>
                <c:pt idx="4">
                  <c:v>Integración del ahumado con otros sabores</c:v>
                </c:pt>
                <c:pt idx="5">
                  <c:v>Armonía entre nariz, paladar y final.</c:v>
                </c:pt>
                <c:pt idx="6">
                  <c:v>Tomabilidad (enfocada en el ahumado)</c:v>
                </c:pt>
              </c:strCache>
            </c:strRef>
          </c:cat>
          <c:val>
            <c:numRef>
              <c:f>Comparación!$U$5:$AA$5</c:f>
              <c:numCache>
                <c:formatCode>0.00</c:formatCode>
                <c:ptCount val="7"/>
                <c:pt idx="0">
                  <c:v>2.8666666666666667</c:v>
                </c:pt>
                <c:pt idx="1">
                  <c:v>2.2000000000000002</c:v>
                </c:pt>
                <c:pt idx="2">
                  <c:v>1.6</c:v>
                </c:pt>
                <c:pt idx="3">
                  <c:v>1.7666666666666666</c:v>
                </c:pt>
                <c:pt idx="4">
                  <c:v>3.3</c:v>
                </c:pt>
                <c:pt idx="5">
                  <c:v>3.1</c:v>
                </c:pt>
                <c:pt idx="6">
                  <c:v>3.2333333333333334</c:v>
                </c:pt>
              </c:numCache>
            </c:numRef>
          </c:val>
          <c:extLst>
            <c:ext xmlns:c16="http://schemas.microsoft.com/office/drawing/2014/chart" uri="{C3380CC4-5D6E-409C-BE32-E72D297353CC}">
              <c16:uniqueId val="{00000002-3A7D-4570-88C0-A6FDDA41A9AF}"/>
            </c:ext>
          </c:extLst>
        </c:ser>
        <c:ser>
          <c:idx val="3"/>
          <c:order val="3"/>
          <c:tx>
            <c:strRef>
              <c:f>Comparación!$T$6</c:f>
              <c:strCache>
                <c:ptCount val="1"/>
                <c:pt idx="0">
                  <c:v>Dalwhinnie Winter's Gold (10 años)</c:v>
                </c:pt>
              </c:strCache>
            </c:strRef>
          </c:tx>
          <c:spPr>
            <a:ln w="28575" cap="rnd">
              <a:solidFill>
                <a:schemeClr val="accent3"/>
              </a:solidFill>
              <a:round/>
            </a:ln>
            <a:effectLst/>
          </c:spPr>
          <c:marker>
            <c:symbol val="none"/>
          </c:marker>
          <c:cat>
            <c:strRef>
              <c:f>Comparación!$U$1:$AA$1</c:f>
              <c:strCache>
                <c:ptCount val="7"/>
                <c:pt idx="0">
                  <c:v>Sensación en boca</c:v>
                </c:pt>
                <c:pt idx="1">
                  <c:v>Duración</c:v>
                </c:pt>
                <c:pt idx="2">
                  <c:v>Ahumado</c:v>
                </c:pt>
                <c:pt idx="3">
                  <c:v>Complejidad</c:v>
                </c:pt>
                <c:pt idx="4">
                  <c:v>Integración del ahumado con otros sabores</c:v>
                </c:pt>
                <c:pt idx="5">
                  <c:v>Armonía entre nariz, paladar y final.</c:v>
                </c:pt>
                <c:pt idx="6">
                  <c:v>Tomabilidad (enfocada en el ahumado)</c:v>
                </c:pt>
              </c:strCache>
            </c:strRef>
          </c:cat>
          <c:val>
            <c:numRef>
              <c:f>Comparación!$U$6:$AA$6</c:f>
              <c:numCache>
                <c:formatCode>0.00</c:formatCode>
                <c:ptCount val="7"/>
                <c:pt idx="0">
                  <c:v>2.9666666666666668</c:v>
                </c:pt>
                <c:pt idx="1">
                  <c:v>3.3</c:v>
                </c:pt>
                <c:pt idx="2">
                  <c:v>2.7</c:v>
                </c:pt>
                <c:pt idx="3">
                  <c:v>2.8333333333333335</c:v>
                </c:pt>
                <c:pt idx="4">
                  <c:v>3.0666666666666669</c:v>
                </c:pt>
                <c:pt idx="5">
                  <c:v>2.9666666666666668</c:v>
                </c:pt>
                <c:pt idx="6">
                  <c:v>3.1333333333333333</c:v>
                </c:pt>
              </c:numCache>
            </c:numRef>
          </c:val>
          <c:extLst>
            <c:ext xmlns:c16="http://schemas.microsoft.com/office/drawing/2014/chart" uri="{C3380CC4-5D6E-409C-BE32-E72D297353CC}">
              <c16:uniqueId val="{00000003-3A7D-4570-88C0-A6FDDA41A9AF}"/>
            </c:ext>
          </c:extLst>
        </c:ser>
        <c:dLbls>
          <c:showLegendKey val="0"/>
          <c:showVal val="0"/>
          <c:showCatName val="0"/>
          <c:showSerName val="0"/>
          <c:showPercent val="0"/>
          <c:showBubbleSize val="0"/>
        </c:dLbls>
        <c:axId val="628939103"/>
        <c:axId val="628941503"/>
      </c:radarChart>
      <c:catAx>
        <c:axId val="628939103"/>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628941503"/>
        <c:crosses val="autoZero"/>
        <c:auto val="1"/>
        <c:lblAlgn val="ctr"/>
        <c:lblOffset val="100"/>
        <c:noMultiLvlLbl val="0"/>
      </c:catAx>
      <c:valAx>
        <c:axId val="628941503"/>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628939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Aroma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radarChart>
        <c:radarStyle val="marker"/>
        <c:varyColors val="0"/>
        <c:ser>
          <c:idx val="0"/>
          <c:order val="0"/>
          <c:tx>
            <c:strRef>
              <c:f>'Comparación (2)'!$A$3</c:f>
              <c:strCache>
                <c:ptCount val="1"/>
                <c:pt idx="0">
                  <c:v>C-70</c:v>
                </c:pt>
              </c:strCache>
            </c:strRef>
          </c:tx>
          <c:spPr>
            <a:ln w="28575" cap="rnd">
              <a:solidFill>
                <a:schemeClr val="accent1"/>
              </a:solidFill>
              <a:round/>
            </a:ln>
            <a:effectLst/>
          </c:spPr>
          <c:marker>
            <c:symbol val="none"/>
          </c:marker>
          <c:cat>
            <c:strRef>
              <c:f>'Comparación (2)'!$B$1:$J$1</c:f>
              <c:strCache>
                <c:ptCount val="9"/>
                <c:pt idx="0">
                  <c:v>Intensidad Ahumado</c:v>
                </c:pt>
                <c:pt idx="1">
                  <c:v> Medicinal</c:v>
                </c:pt>
                <c:pt idx="2">
                  <c:v> Terroso</c:v>
                </c:pt>
                <c:pt idx="3">
                  <c:v>Amaderado</c:v>
                </c:pt>
                <c:pt idx="4">
                  <c:v>Café</c:v>
                </c:pt>
                <c:pt idx="5">
                  <c:v>Otro</c:v>
                </c:pt>
                <c:pt idx="6">
                  <c:v>Frutal</c:v>
                </c:pt>
                <c:pt idx="7">
                  <c:v>Vainilla</c:v>
                </c:pt>
                <c:pt idx="8">
                  <c:v>Cereal </c:v>
                </c:pt>
              </c:strCache>
            </c:strRef>
          </c:cat>
          <c:val>
            <c:numRef>
              <c:f>'Comparación (2)'!$B$3:$J$3</c:f>
              <c:numCache>
                <c:formatCode>0.00</c:formatCode>
                <c:ptCount val="9"/>
                <c:pt idx="0">
                  <c:v>2.225806451612903</c:v>
                </c:pt>
                <c:pt idx="1">
                  <c:v>1.1935483870967742</c:v>
                </c:pt>
                <c:pt idx="2">
                  <c:v>1.064516129032258</c:v>
                </c:pt>
                <c:pt idx="3">
                  <c:v>1.6451612903225807</c:v>
                </c:pt>
                <c:pt idx="4">
                  <c:v>0.90322580645161288</c:v>
                </c:pt>
                <c:pt idx="5">
                  <c:v>0.64516129032258063</c:v>
                </c:pt>
                <c:pt idx="6">
                  <c:v>2.225806451612903</c:v>
                </c:pt>
                <c:pt idx="7">
                  <c:v>1.8387096774193548</c:v>
                </c:pt>
                <c:pt idx="8">
                  <c:v>2.096774193548387</c:v>
                </c:pt>
              </c:numCache>
            </c:numRef>
          </c:val>
          <c:extLst>
            <c:ext xmlns:c16="http://schemas.microsoft.com/office/drawing/2014/chart" uri="{C3380CC4-5D6E-409C-BE32-E72D297353CC}">
              <c16:uniqueId val="{00000000-4969-44F5-BC1F-12FE057E01C9}"/>
            </c:ext>
          </c:extLst>
        </c:ser>
        <c:ser>
          <c:idx val="1"/>
          <c:order val="1"/>
          <c:tx>
            <c:strRef>
              <c:f>'Comparación (2)'!$A$4</c:f>
              <c:strCache>
                <c:ptCount val="1"/>
                <c:pt idx="0">
                  <c:v>B1</c:v>
                </c:pt>
              </c:strCache>
            </c:strRef>
          </c:tx>
          <c:spPr>
            <a:ln w="28575" cap="rnd">
              <a:solidFill>
                <a:schemeClr val="accent2"/>
              </a:solidFill>
              <a:round/>
            </a:ln>
            <a:effectLst/>
          </c:spPr>
          <c:marker>
            <c:symbol val="none"/>
          </c:marker>
          <c:cat>
            <c:strRef>
              <c:f>'Comparación (2)'!$B$1:$J$1</c:f>
              <c:strCache>
                <c:ptCount val="9"/>
                <c:pt idx="0">
                  <c:v>Intensidad Ahumado</c:v>
                </c:pt>
                <c:pt idx="1">
                  <c:v> Medicinal</c:v>
                </c:pt>
                <c:pt idx="2">
                  <c:v> Terroso</c:v>
                </c:pt>
                <c:pt idx="3">
                  <c:v>Amaderado</c:v>
                </c:pt>
                <c:pt idx="4">
                  <c:v>Café</c:v>
                </c:pt>
                <c:pt idx="5">
                  <c:v>Otro</c:v>
                </c:pt>
                <c:pt idx="6">
                  <c:v>Frutal</c:v>
                </c:pt>
                <c:pt idx="7">
                  <c:v>Vainilla</c:v>
                </c:pt>
                <c:pt idx="8">
                  <c:v>Cereal </c:v>
                </c:pt>
              </c:strCache>
            </c:strRef>
          </c:cat>
          <c:val>
            <c:numRef>
              <c:f>'Comparación (2)'!$B$4:$J$4</c:f>
              <c:numCache>
                <c:formatCode>0.00</c:formatCode>
                <c:ptCount val="9"/>
                <c:pt idx="0">
                  <c:v>2.7</c:v>
                </c:pt>
                <c:pt idx="1">
                  <c:v>1.1333333333333333</c:v>
                </c:pt>
                <c:pt idx="2">
                  <c:v>1.3333333333333333</c:v>
                </c:pt>
                <c:pt idx="3">
                  <c:v>2.15</c:v>
                </c:pt>
                <c:pt idx="4">
                  <c:v>1.1166666666666667</c:v>
                </c:pt>
                <c:pt idx="5">
                  <c:v>0.56666666666666665</c:v>
                </c:pt>
                <c:pt idx="6">
                  <c:v>2.2666666666666666</c:v>
                </c:pt>
                <c:pt idx="7">
                  <c:v>2.5333333333333332</c:v>
                </c:pt>
                <c:pt idx="8">
                  <c:v>1.8833333333333333</c:v>
                </c:pt>
              </c:numCache>
            </c:numRef>
          </c:val>
          <c:extLst>
            <c:ext xmlns:c16="http://schemas.microsoft.com/office/drawing/2014/chart" uri="{C3380CC4-5D6E-409C-BE32-E72D297353CC}">
              <c16:uniqueId val="{00000001-4969-44F5-BC1F-12FE057E01C9}"/>
            </c:ext>
          </c:extLst>
        </c:ser>
        <c:ser>
          <c:idx val="2"/>
          <c:order val="2"/>
          <c:tx>
            <c:strRef>
              <c:f>'Comparación (2)'!$A$5</c:f>
              <c:strCache>
                <c:ptCount val="1"/>
                <c:pt idx="0">
                  <c:v>H76</c:v>
                </c:pt>
              </c:strCache>
            </c:strRef>
          </c:tx>
          <c:spPr>
            <a:ln w="28575" cap="rnd">
              <a:solidFill>
                <a:schemeClr val="accent6"/>
              </a:solidFill>
              <a:round/>
            </a:ln>
            <a:effectLst/>
          </c:spPr>
          <c:marker>
            <c:symbol val="none"/>
          </c:marker>
          <c:cat>
            <c:strRef>
              <c:f>'Comparación (2)'!$B$1:$J$1</c:f>
              <c:strCache>
                <c:ptCount val="9"/>
                <c:pt idx="0">
                  <c:v>Intensidad Ahumado</c:v>
                </c:pt>
                <c:pt idx="1">
                  <c:v> Medicinal</c:v>
                </c:pt>
                <c:pt idx="2">
                  <c:v> Terroso</c:v>
                </c:pt>
                <c:pt idx="3">
                  <c:v>Amaderado</c:v>
                </c:pt>
                <c:pt idx="4">
                  <c:v>Café</c:v>
                </c:pt>
                <c:pt idx="5">
                  <c:v>Otro</c:v>
                </c:pt>
                <c:pt idx="6">
                  <c:v>Frutal</c:v>
                </c:pt>
                <c:pt idx="7">
                  <c:v>Vainilla</c:v>
                </c:pt>
                <c:pt idx="8">
                  <c:v>Cereal </c:v>
                </c:pt>
              </c:strCache>
            </c:strRef>
          </c:cat>
          <c:val>
            <c:numRef>
              <c:f>'Comparación (2)'!$B$5:$J$5</c:f>
              <c:numCache>
                <c:formatCode>0.00</c:formatCode>
                <c:ptCount val="9"/>
                <c:pt idx="0">
                  <c:v>2.4166666666666665</c:v>
                </c:pt>
                <c:pt idx="1">
                  <c:v>1.25</c:v>
                </c:pt>
                <c:pt idx="2">
                  <c:v>1.1333333333333333</c:v>
                </c:pt>
                <c:pt idx="3">
                  <c:v>1.8</c:v>
                </c:pt>
                <c:pt idx="4">
                  <c:v>0.8666666666666667</c:v>
                </c:pt>
                <c:pt idx="5">
                  <c:v>0.7</c:v>
                </c:pt>
                <c:pt idx="6">
                  <c:v>2.2666666666666666</c:v>
                </c:pt>
                <c:pt idx="7">
                  <c:v>1.9666666666666666</c:v>
                </c:pt>
                <c:pt idx="8">
                  <c:v>2.0666666666666669</c:v>
                </c:pt>
              </c:numCache>
            </c:numRef>
          </c:val>
          <c:extLst>
            <c:ext xmlns:c16="http://schemas.microsoft.com/office/drawing/2014/chart" uri="{C3380CC4-5D6E-409C-BE32-E72D297353CC}">
              <c16:uniqueId val="{00000002-4969-44F5-BC1F-12FE057E01C9}"/>
            </c:ext>
          </c:extLst>
        </c:ser>
        <c:ser>
          <c:idx val="3"/>
          <c:order val="3"/>
          <c:tx>
            <c:strRef>
              <c:f>'Comparación (2)'!$A$6</c:f>
              <c:strCache>
                <c:ptCount val="1"/>
                <c:pt idx="0">
                  <c:v>Dalwhinnie Winter's Gold (10 años)</c:v>
                </c:pt>
              </c:strCache>
            </c:strRef>
          </c:tx>
          <c:spPr>
            <a:ln w="28575" cap="rnd">
              <a:solidFill>
                <a:schemeClr val="accent3"/>
              </a:solidFill>
              <a:round/>
            </a:ln>
            <a:effectLst/>
          </c:spPr>
          <c:marker>
            <c:symbol val="none"/>
          </c:marker>
          <c:cat>
            <c:strRef>
              <c:f>'Comparación (2)'!$B$1:$J$1</c:f>
              <c:strCache>
                <c:ptCount val="9"/>
                <c:pt idx="0">
                  <c:v>Intensidad Ahumado</c:v>
                </c:pt>
                <c:pt idx="1">
                  <c:v> Medicinal</c:v>
                </c:pt>
                <c:pt idx="2">
                  <c:v> Terroso</c:v>
                </c:pt>
                <c:pt idx="3">
                  <c:v>Amaderado</c:v>
                </c:pt>
                <c:pt idx="4">
                  <c:v>Café</c:v>
                </c:pt>
                <c:pt idx="5">
                  <c:v>Otro</c:v>
                </c:pt>
                <c:pt idx="6">
                  <c:v>Frutal</c:v>
                </c:pt>
                <c:pt idx="7">
                  <c:v>Vainilla</c:v>
                </c:pt>
                <c:pt idx="8">
                  <c:v>Cereal </c:v>
                </c:pt>
              </c:strCache>
            </c:strRef>
          </c:cat>
          <c:val>
            <c:numRef>
              <c:f>'Comparación (2)'!$B$6:$J$6</c:f>
              <c:numCache>
                <c:formatCode>0.00</c:formatCode>
                <c:ptCount val="9"/>
                <c:pt idx="0">
                  <c:v>2.6</c:v>
                </c:pt>
                <c:pt idx="1">
                  <c:v>1.5166666666666666</c:v>
                </c:pt>
                <c:pt idx="2">
                  <c:v>1.2</c:v>
                </c:pt>
                <c:pt idx="3">
                  <c:v>2.0833333333333335</c:v>
                </c:pt>
                <c:pt idx="4">
                  <c:v>1.2166666666666666</c:v>
                </c:pt>
                <c:pt idx="5">
                  <c:v>0.9</c:v>
                </c:pt>
                <c:pt idx="6">
                  <c:v>2.4333333333333331</c:v>
                </c:pt>
                <c:pt idx="7">
                  <c:v>2.1333333333333333</c:v>
                </c:pt>
                <c:pt idx="8">
                  <c:v>1.9333333333333333</c:v>
                </c:pt>
              </c:numCache>
            </c:numRef>
          </c:val>
          <c:extLst>
            <c:ext xmlns:c16="http://schemas.microsoft.com/office/drawing/2014/chart" uri="{C3380CC4-5D6E-409C-BE32-E72D297353CC}">
              <c16:uniqueId val="{00000003-4969-44F5-BC1F-12FE057E01C9}"/>
            </c:ext>
          </c:extLst>
        </c:ser>
        <c:dLbls>
          <c:showLegendKey val="0"/>
          <c:showVal val="0"/>
          <c:showCatName val="0"/>
          <c:showSerName val="0"/>
          <c:showPercent val="0"/>
          <c:showBubbleSize val="0"/>
        </c:dLbls>
        <c:axId val="427616143"/>
        <c:axId val="427609423"/>
      </c:radarChart>
      <c:catAx>
        <c:axId val="427616143"/>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27609423"/>
        <c:crosses val="autoZero"/>
        <c:auto val="1"/>
        <c:lblAlgn val="ctr"/>
        <c:lblOffset val="100"/>
        <c:noMultiLvlLbl val="0"/>
      </c:catAx>
      <c:valAx>
        <c:axId val="427609423"/>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2761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Sabor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radarChart>
        <c:radarStyle val="marker"/>
        <c:varyColors val="0"/>
        <c:ser>
          <c:idx val="0"/>
          <c:order val="0"/>
          <c:tx>
            <c:strRef>
              <c:f>'Comparación (2)'!$K$3</c:f>
              <c:strCache>
                <c:ptCount val="1"/>
                <c:pt idx="0">
                  <c:v>C-70</c:v>
                </c:pt>
              </c:strCache>
            </c:strRef>
          </c:tx>
          <c:spPr>
            <a:ln w="28575" cap="rnd">
              <a:solidFill>
                <a:schemeClr val="accent1"/>
              </a:solidFill>
              <a:round/>
            </a:ln>
            <a:effectLst/>
          </c:spPr>
          <c:marker>
            <c:symbol val="none"/>
          </c:marker>
          <c:cat>
            <c:strRef>
              <c:f>'Comparación (2)'!$L$1:$S$1</c:f>
              <c:strCache>
                <c:ptCount val="8"/>
                <c:pt idx="0">
                  <c:v>Intensidad de ahumado
</c:v>
                </c:pt>
                <c:pt idx="1">
                  <c:v> Medicinal</c:v>
                </c:pt>
                <c:pt idx="2">
                  <c:v> Terroso</c:v>
                </c:pt>
                <c:pt idx="3">
                  <c:v>Amaderado</c:v>
                </c:pt>
                <c:pt idx="4">
                  <c:v>Café</c:v>
                </c:pt>
                <c:pt idx="5">
                  <c:v>Frutal</c:v>
                </c:pt>
                <c:pt idx="6">
                  <c:v>Vainilla</c:v>
                </c:pt>
                <c:pt idx="7">
                  <c:v>Cereal </c:v>
                </c:pt>
              </c:strCache>
            </c:strRef>
          </c:cat>
          <c:val>
            <c:numRef>
              <c:f>'Comparación (2)'!$L$3:$S$3</c:f>
              <c:numCache>
                <c:formatCode>0.00</c:formatCode>
                <c:ptCount val="8"/>
                <c:pt idx="0">
                  <c:v>2.129032258064516</c:v>
                </c:pt>
                <c:pt idx="1">
                  <c:v>2.193548387096774</c:v>
                </c:pt>
                <c:pt idx="2">
                  <c:v>1.8709677419354838</c:v>
                </c:pt>
                <c:pt idx="3">
                  <c:v>2.193548387096774</c:v>
                </c:pt>
                <c:pt idx="4">
                  <c:v>1.5806451612903225</c:v>
                </c:pt>
                <c:pt idx="5">
                  <c:v>2.4516129032258065</c:v>
                </c:pt>
                <c:pt idx="6">
                  <c:v>1.903225806451613</c:v>
                </c:pt>
                <c:pt idx="7">
                  <c:v>1.6451612903225807</c:v>
                </c:pt>
              </c:numCache>
            </c:numRef>
          </c:val>
          <c:extLst>
            <c:ext xmlns:c16="http://schemas.microsoft.com/office/drawing/2014/chart" uri="{C3380CC4-5D6E-409C-BE32-E72D297353CC}">
              <c16:uniqueId val="{00000000-0034-44EC-9289-B6F53260C815}"/>
            </c:ext>
          </c:extLst>
        </c:ser>
        <c:ser>
          <c:idx val="1"/>
          <c:order val="1"/>
          <c:tx>
            <c:strRef>
              <c:f>'Comparación (2)'!$K$4</c:f>
              <c:strCache>
                <c:ptCount val="1"/>
                <c:pt idx="0">
                  <c:v>B1</c:v>
                </c:pt>
              </c:strCache>
            </c:strRef>
          </c:tx>
          <c:spPr>
            <a:ln w="28575" cap="rnd">
              <a:solidFill>
                <a:schemeClr val="accent2"/>
              </a:solidFill>
              <a:round/>
            </a:ln>
            <a:effectLst/>
          </c:spPr>
          <c:marker>
            <c:symbol val="none"/>
          </c:marker>
          <c:cat>
            <c:strRef>
              <c:f>'Comparación (2)'!$L$1:$S$1</c:f>
              <c:strCache>
                <c:ptCount val="8"/>
                <c:pt idx="0">
                  <c:v>Intensidad de ahumado
</c:v>
                </c:pt>
                <c:pt idx="1">
                  <c:v> Medicinal</c:v>
                </c:pt>
                <c:pt idx="2">
                  <c:v> Terroso</c:v>
                </c:pt>
                <c:pt idx="3">
                  <c:v>Amaderado</c:v>
                </c:pt>
                <c:pt idx="4">
                  <c:v>Café</c:v>
                </c:pt>
                <c:pt idx="5">
                  <c:v>Frutal</c:v>
                </c:pt>
                <c:pt idx="6">
                  <c:v>Vainilla</c:v>
                </c:pt>
                <c:pt idx="7">
                  <c:v>Cereal </c:v>
                </c:pt>
              </c:strCache>
            </c:strRef>
          </c:cat>
          <c:val>
            <c:numRef>
              <c:f>'Comparación (2)'!$L$4:$S$4</c:f>
              <c:numCache>
                <c:formatCode>0.00</c:formatCode>
                <c:ptCount val="8"/>
                <c:pt idx="0">
                  <c:v>2.7333333333333334</c:v>
                </c:pt>
                <c:pt idx="1">
                  <c:v>1.9</c:v>
                </c:pt>
                <c:pt idx="2">
                  <c:v>2</c:v>
                </c:pt>
                <c:pt idx="3">
                  <c:v>2.7666666666666666</c:v>
                </c:pt>
                <c:pt idx="4">
                  <c:v>2.1666666666666665</c:v>
                </c:pt>
                <c:pt idx="5">
                  <c:v>1.9</c:v>
                </c:pt>
                <c:pt idx="6">
                  <c:v>2.5333333333333332</c:v>
                </c:pt>
                <c:pt idx="7">
                  <c:v>2.0333333333333332</c:v>
                </c:pt>
              </c:numCache>
            </c:numRef>
          </c:val>
          <c:extLst>
            <c:ext xmlns:c16="http://schemas.microsoft.com/office/drawing/2014/chart" uri="{C3380CC4-5D6E-409C-BE32-E72D297353CC}">
              <c16:uniqueId val="{00000001-0034-44EC-9289-B6F53260C815}"/>
            </c:ext>
          </c:extLst>
        </c:ser>
        <c:ser>
          <c:idx val="2"/>
          <c:order val="2"/>
          <c:tx>
            <c:strRef>
              <c:f>'Comparación (2)'!$K$5</c:f>
              <c:strCache>
                <c:ptCount val="1"/>
                <c:pt idx="0">
                  <c:v>H76</c:v>
                </c:pt>
              </c:strCache>
            </c:strRef>
          </c:tx>
          <c:spPr>
            <a:ln w="28575" cap="rnd">
              <a:solidFill>
                <a:schemeClr val="accent6"/>
              </a:solidFill>
              <a:round/>
            </a:ln>
            <a:effectLst/>
          </c:spPr>
          <c:marker>
            <c:symbol val="none"/>
          </c:marker>
          <c:cat>
            <c:strRef>
              <c:f>'Comparación (2)'!$L$1:$S$1</c:f>
              <c:strCache>
                <c:ptCount val="8"/>
                <c:pt idx="0">
                  <c:v>Intensidad de ahumado
</c:v>
                </c:pt>
                <c:pt idx="1">
                  <c:v> Medicinal</c:v>
                </c:pt>
                <c:pt idx="2">
                  <c:v> Terroso</c:v>
                </c:pt>
                <c:pt idx="3">
                  <c:v>Amaderado</c:v>
                </c:pt>
                <c:pt idx="4">
                  <c:v>Café</c:v>
                </c:pt>
                <c:pt idx="5">
                  <c:v>Frutal</c:v>
                </c:pt>
                <c:pt idx="6">
                  <c:v>Vainilla</c:v>
                </c:pt>
                <c:pt idx="7">
                  <c:v>Cereal </c:v>
                </c:pt>
              </c:strCache>
            </c:strRef>
          </c:cat>
          <c:val>
            <c:numRef>
              <c:f>'Comparación (2)'!$L$5:$S$5</c:f>
              <c:numCache>
                <c:formatCode>0.00</c:formatCode>
                <c:ptCount val="8"/>
                <c:pt idx="0">
                  <c:v>2.5333333333333332</c:v>
                </c:pt>
                <c:pt idx="1">
                  <c:v>2.0666666666666669</c:v>
                </c:pt>
                <c:pt idx="2">
                  <c:v>1.7666666666666666</c:v>
                </c:pt>
                <c:pt idx="3">
                  <c:v>2.2999999999999998</c:v>
                </c:pt>
                <c:pt idx="4">
                  <c:v>1.7</c:v>
                </c:pt>
                <c:pt idx="5">
                  <c:v>1.9833333333333334</c:v>
                </c:pt>
                <c:pt idx="6">
                  <c:v>1.9666666666666666</c:v>
                </c:pt>
                <c:pt idx="7">
                  <c:v>2.1666666666666665</c:v>
                </c:pt>
              </c:numCache>
            </c:numRef>
          </c:val>
          <c:extLst>
            <c:ext xmlns:c16="http://schemas.microsoft.com/office/drawing/2014/chart" uri="{C3380CC4-5D6E-409C-BE32-E72D297353CC}">
              <c16:uniqueId val="{00000002-0034-44EC-9289-B6F53260C815}"/>
            </c:ext>
          </c:extLst>
        </c:ser>
        <c:ser>
          <c:idx val="3"/>
          <c:order val="3"/>
          <c:tx>
            <c:strRef>
              <c:f>'Comparación (2)'!$K$6</c:f>
              <c:strCache>
                <c:ptCount val="1"/>
                <c:pt idx="0">
                  <c:v>Dalwhinnie Winter's Gold (10 años)</c:v>
                </c:pt>
              </c:strCache>
            </c:strRef>
          </c:tx>
          <c:spPr>
            <a:ln w="28575" cap="rnd">
              <a:solidFill>
                <a:schemeClr val="accent3"/>
              </a:solidFill>
              <a:round/>
            </a:ln>
            <a:effectLst/>
          </c:spPr>
          <c:marker>
            <c:symbol val="none"/>
          </c:marker>
          <c:cat>
            <c:strRef>
              <c:f>'Comparación (2)'!$L$1:$S$1</c:f>
              <c:strCache>
                <c:ptCount val="8"/>
                <c:pt idx="0">
                  <c:v>Intensidad de ahumado
</c:v>
                </c:pt>
                <c:pt idx="1">
                  <c:v> Medicinal</c:v>
                </c:pt>
                <c:pt idx="2">
                  <c:v> Terroso</c:v>
                </c:pt>
                <c:pt idx="3">
                  <c:v>Amaderado</c:v>
                </c:pt>
                <c:pt idx="4">
                  <c:v>Café</c:v>
                </c:pt>
                <c:pt idx="5">
                  <c:v>Frutal</c:v>
                </c:pt>
                <c:pt idx="6">
                  <c:v>Vainilla</c:v>
                </c:pt>
                <c:pt idx="7">
                  <c:v>Cereal </c:v>
                </c:pt>
              </c:strCache>
            </c:strRef>
          </c:cat>
          <c:val>
            <c:numRef>
              <c:f>'Comparación (2)'!$L$6:$S$6</c:f>
              <c:numCache>
                <c:formatCode>0.00</c:formatCode>
                <c:ptCount val="8"/>
                <c:pt idx="0">
                  <c:v>3.3333333333333335</c:v>
                </c:pt>
                <c:pt idx="1">
                  <c:v>2.3666666666666667</c:v>
                </c:pt>
                <c:pt idx="2">
                  <c:v>2.5</c:v>
                </c:pt>
                <c:pt idx="3">
                  <c:v>3.2666666666666666</c:v>
                </c:pt>
                <c:pt idx="4">
                  <c:v>1.8333333333333333</c:v>
                </c:pt>
                <c:pt idx="5">
                  <c:v>2.2666666666666666</c:v>
                </c:pt>
                <c:pt idx="6">
                  <c:v>2.2999999999999998</c:v>
                </c:pt>
                <c:pt idx="7">
                  <c:v>2.2000000000000002</c:v>
                </c:pt>
              </c:numCache>
            </c:numRef>
          </c:val>
          <c:extLst>
            <c:ext xmlns:c16="http://schemas.microsoft.com/office/drawing/2014/chart" uri="{C3380CC4-5D6E-409C-BE32-E72D297353CC}">
              <c16:uniqueId val="{00000003-0034-44EC-9289-B6F53260C815}"/>
            </c:ext>
          </c:extLst>
        </c:ser>
        <c:dLbls>
          <c:showLegendKey val="0"/>
          <c:showVal val="0"/>
          <c:showCatName val="0"/>
          <c:showSerName val="0"/>
          <c:showPercent val="0"/>
          <c:showBubbleSize val="0"/>
        </c:dLbls>
        <c:axId val="628996703"/>
        <c:axId val="629008223"/>
      </c:radarChart>
      <c:catAx>
        <c:axId val="628996703"/>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629008223"/>
        <c:crosses val="autoZero"/>
        <c:auto val="1"/>
        <c:lblAlgn val="ctr"/>
        <c:lblOffset val="100"/>
        <c:noMultiLvlLbl val="0"/>
      </c:catAx>
      <c:valAx>
        <c:axId val="629008223"/>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628996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Regusto-Final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manualLayout>
          <c:layoutTarget val="inner"/>
          <c:xMode val="edge"/>
          <c:yMode val="edge"/>
          <c:x val="0.21313254593175854"/>
          <c:y val="0.24375182268883061"/>
          <c:w val="0.34388670166229224"/>
          <c:h val="0.57314450277048701"/>
        </c:manualLayout>
      </c:layout>
      <c:radarChart>
        <c:radarStyle val="marker"/>
        <c:varyColors val="0"/>
        <c:ser>
          <c:idx val="0"/>
          <c:order val="0"/>
          <c:tx>
            <c:strRef>
              <c:f>'Comparación (2)'!$T$3</c:f>
              <c:strCache>
                <c:ptCount val="1"/>
                <c:pt idx="0">
                  <c:v>C-70</c:v>
                </c:pt>
              </c:strCache>
            </c:strRef>
          </c:tx>
          <c:spPr>
            <a:ln w="28575" cap="rnd">
              <a:solidFill>
                <a:schemeClr val="accent1"/>
              </a:solidFill>
              <a:round/>
            </a:ln>
            <a:effectLst/>
          </c:spPr>
          <c:marker>
            <c:symbol val="none"/>
          </c:marker>
          <c:cat>
            <c:strRef>
              <c:f>'Comparación (2)'!$U$1:$AA$1</c:f>
              <c:strCache>
                <c:ptCount val="7"/>
                <c:pt idx="0">
                  <c:v>Sensación en boca</c:v>
                </c:pt>
                <c:pt idx="1">
                  <c:v>Duración</c:v>
                </c:pt>
                <c:pt idx="2">
                  <c:v>Ahumado</c:v>
                </c:pt>
                <c:pt idx="3">
                  <c:v>Complejidad</c:v>
                </c:pt>
                <c:pt idx="4">
                  <c:v>Integración del ahumado con otros sabores</c:v>
                </c:pt>
                <c:pt idx="5">
                  <c:v>Armonía entre nariz, paladar y final.</c:v>
                </c:pt>
                <c:pt idx="6">
                  <c:v>Tomabilidad (enfocada en el ahumado)</c:v>
                </c:pt>
              </c:strCache>
            </c:strRef>
          </c:cat>
          <c:val>
            <c:numRef>
              <c:f>'Comparación (2)'!$U$3:$AA$3</c:f>
              <c:numCache>
                <c:formatCode>0.00</c:formatCode>
                <c:ptCount val="7"/>
                <c:pt idx="0">
                  <c:v>2.5806451612903225</c:v>
                </c:pt>
                <c:pt idx="1">
                  <c:v>2.5483870967741935</c:v>
                </c:pt>
                <c:pt idx="2">
                  <c:v>1.4193548387096775</c:v>
                </c:pt>
                <c:pt idx="3">
                  <c:v>1.7419354838709677</c:v>
                </c:pt>
                <c:pt idx="4">
                  <c:v>3.5806451612903225</c:v>
                </c:pt>
                <c:pt idx="5">
                  <c:v>2.774193548387097</c:v>
                </c:pt>
                <c:pt idx="6">
                  <c:v>3.225806451612903</c:v>
                </c:pt>
              </c:numCache>
            </c:numRef>
          </c:val>
          <c:extLst>
            <c:ext xmlns:c16="http://schemas.microsoft.com/office/drawing/2014/chart" uri="{C3380CC4-5D6E-409C-BE32-E72D297353CC}">
              <c16:uniqueId val="{00000000-5C16-4EA4-991D-57E09B5ADDBF}"/>
            </c:ext>
          </c:extLst>
        </c:ser>
        <c:ser>
          <c:idx val="1"/>
          <c:order val="1"/>
          <c:tx>
            <c:strRef>
              <c:f>'Comparación (2)'!$T$4</c:f>
              <c:strCache>
                <c:ptCount val="1"/>
                <c:pt idx="0">
                  <c:v>B1</c:v>
                </c:pt>
              </c:strCache>
            </c:strRef>
          </c:tx>
          <c:spPr>
            <a:ln w="28575" cap="rnd">
              <a:solidFill>
                <a:schemeClr val="accent2"/>
              </a:solidFill>
              <a:round/>
            </a:ln>
            <a:effectLst/>
          </c:spPr>
          <c:marker>
            <c:symbol val="none"/>
          </c:marker>
          <c:cat>
            <c:strRef>
              <c:f>'Comparación (2)'!$U$1:$AA$1</c:f>
              <c:strCache>
                <c:ptCount val="7"/>
                <c:pt idx="0">
                  <c:v>Sensación en boca</c:v>
                </c:pt>
                <c:pt idx="1">
                  <c:v>Duración</c:v>
                </c:pt>
                <c:pt idx="2">
                  <c:v>Ahumado</c:v>
                </c:pt>
                <c:pt idx="3">
                  <c:v>Complejidad</c:v>
                </c:pt>
                <c:pt idx="4">
                  <c:v>Integración del ahumado con otros sabores</c:v>
                </c:pt>
                <c:pt idx="5">
                  <c:v>Armonía entre nariz, paladar y final.</c:v>
                </c:pt>
                <c:pt idx="6">
                  <c:v>Tomabilidad (enfocada en el ahumado)</c:v>
                </c:pt>
              </c:strCache>
            </c:strRef>
          </c:cat>
          <c:val>
            <c:numRef>
              <c:f>'Comparación (2)'!$U$4:$AA$4</c:f>
              <c:numCache>
                <c:formatCode>0.00</c:formatCode>
                <c:ptCount val="7"/>
                <c:pt idx="0">
                  <c:v>3.1333333333333333</c:v>
                </c:pt>
                <c:pt idx="1">
                  <c:v>2.7333333333333334</c:v>
                </c:pt>
                <c:pt idx="2">
                  <c:v>2</c:v>
                </c:pt>
                <c:pt idx="3">
                  <c:v>1.8666666666666667</c:v>
                </c:pt>
                <c:pt idx="4">
                  <c:v>3.0333333333333332</c:v>
                </c:pt>
                <c:pt idx="5">
                  <c:v>3.1333333333333333</c:v>
                </c:pt>
                <c:pt idx="6">
                  <c:v>3.1666666666666665</c:v>
                </c:pt>
              </c:numCache>
            </c:numRef>
          </c:val>
          <c:extLst>
            <c:ext xmlns:c16="http://schemas.microsoft.com/office/drawing/2014/chart" uri="{C3380CC4-5D6E-409C-BE32-E72D297353CC}">
              <c16:uniqueId val="{00000001-5C16-4EA4-991D-57E09B5ADDBF}"/>
            </c:ext>
          </c:extLst>
        </c:ser>
        <c:ser>
          <c:idx val="2"/>
          <c:order val="2"/>
          <c:tx>
            <c:strRef>
              <c:f>'Comparación (2)'!$T$5</c:f>
              <c:strCache>
                <c:ptCount val="1"/>
                <c:pt idx="0">
                  <c:v>H76</c:v>
                </c:pt>
              </c:strCache>
            </c:strRef>
          </c:tx>
          <c:spPr>
            <a:ln w="28575" cap="rnd">
              <a:solidFill>
                <a:schemeClr val="accent6"/>
              </a:solidFill>
              <a:round/>
            </a:ln>
            <a:effectLst/>
          </c:spPr>
          <c:marker>
            <c:symbol val="none"/>
          </c:marker>
          <c:cat>
            <c:strRef>
              <c:f>'Comparación (2)'!$U$1:$AA$1</c:f>
              <c:strCache>
                <c:ptCount val="7"/>
                <c:pt idx="0">
                  <c:v>Sensación en boca</c:v>
                </c:pt>
                <c:pt idx="1">
                  <c:v>Duración</c:v>
                </c:pt>
                <c:pt idx="2">
                  <c:v>Ahumado</c:v>
                </c:pt>
                <c:pt idx="3">
                  <c:v>Complejidad</c:v>
                </c:pt>
                <c:pt idx="4">
                  <c:v>Integración del ahumado con otros sabores</c:v>
                </c:pt>
                <c:pt idx="5">
                  <c:v>Armonía entre nariz, paladar y final.</c:v>
                </c:pt>
                <c:pt idx="6">
                  <c:v>Tomabilidad (enfocada en el ahumado)</c:v>
                </c:pt>
              </c:strCache>
            </c:strRef>
          </c:cat>
          <c:val>
            <c:numRef>
              <c:f>'Comparación (2)'!$U$5:$AA$5</c:f>
              <c:numCache>
                <c:formatCode>0.00</c:formatCode>
                <c:ptCount val="7"/>
                <c:pt idx="0">
                  <c:v>2.8666666666666667</c:v>
                </c:pt>
                <c:pt idx="1">
                  <c:v>2.2000000000000002</c:v>
                </c:pt>
                <c:pt idx="2">
                  <c:v>1.6</c:v>
                </c:pt>
                <c:pt idx="3">
                  <c:v>1.7666666666666666</c:v>
                </c:pt>
                <c:pt idx="4">
                  <c:v>3.3</c:v>
                </c:pt>
                <c:pt idx="5">
                  <c:v>3.1</c:v>
                </c:pt>
                <c:pt idx="6">
                  <c:v>3.2333333333333334</c:v>
                </c:pt>
              </c:numCache>
            </c:numRef>
          </c:val>
          <c:extLst>
            <c:ext xmlns:c16="http://schemas.microsoft.com/office/drawing/2014/chart" uri="{C3380CC4-5D6E-409C-BE32-E72D297353CC}">
              <c16:uniqueId val="{00000002-5C16-4EA4-991D-57E09B5ADDBF}"/>
            </c:ext>
          </c:extLst>
        </c:ser>
        <c:ser>
          <c:idx val="3"/>
          <c:order val="3"/>
          <c:tx>
            <c:strRef>
              <c:f>'Comparación (2)'!$T$6</c:f>
              <c:strCache>
                <c:ptCount val="1"/>
                <c:pt idx="0">
                  <c:v>Dalwhinnie Winter's Gold (10 años)</c:v>
                </c:pt>
              </c:strCache>
            </c:strRef>
          </c:tx>
          <c:spPr>
            <a:ln w="28575" cap="rnd">
              <a:solidFill>
                <a:schemeClr val="accent3"/>
              </a:solidFill>
              <a:round/>
            </a:ln>
            <a:effectLst/>
          </c:spPr>
          <c:marker>
            <c:symbol val="none"/>
          </c:marker>
          <c:cat>
            <c:strRef>
              <c:f>'Comparación (2)'!$U$1:$AA$1</c:f>
              <c:strCache>
                <c:ptCount val="7"/>
                <c:pt idx="0">
                  <c:v>Sensación en boca</c:v>
                </c:pt>
                <c:pt idx="1">
                  <c:v>Duración</c:v>
                </c:pt>
                <c:pt idx="2">
                  <c:v>Ahumado</c:v>
                </c:pt>
                <c:pt idx="3">
                  <c:v>Complejidad</c:v>
                </c:pt>
                <c:pt idx="4">
                  <c:v>Integración del ahumado con otros sabores</c:v>
                </c:pt>
                <c:pt idx="5">
                  <c:v>Armonía entre nariz, paladar y final.</c:v>
                </c:pt>
                <c:pt idx="6">
                  <c:v>Tomabilidad (enfocada en el ahumado)</c:v>
                </c:pt>
              </c:strCache>
            </c:strRef>
          </c:cat>
          <c:val>
            <c:numRef>
              <c:f>'Comparación (2)'!$U$6:$AA$6</c:f>
              <c:numCache>
                <c:formatCode>0.00</c:formatCode>
                <c:ptCount val="7"/>
                <c:pt idx="0">
                  <c:v>2.9666666666666668</c:v>
                </c:pt>
                <c:pt idx="1">
                  <c:v>3.3</c:v>
                </c:pt>
                <c:pt idx="2">
                  <c:v>2.7</c:v>
                </c:pt>
                <c:pt idx="3">
                  <c:v>2.8333333333333335</c:v>
                </c:pt>
                <c:pt idx="4">
                  <c:v>3.0666666666666669</c:v>
                </c:pt>
                <c:pt idx="5">
                  <c:v>2.9666666666666668</c:v>
                </c:pt>
                <c:pt idx="6">
                  <c:v>3.1333333333333333</c:v>
                </c:pt>
              </c:numCache>
            </c:numRef>
          </c:val>
          <c:extLst>
            <c:ext xmlns:c16="http://schemas.microsoft.com/office/drawing/2014/chart" uri="{C3380CC4-5D6E-409C-BE32-E72D297353CC}">
              <c16:uniqueId val="{00000003-5C16-4EA4-991D-57E09B5ADDBF}"/>
            </c:ext>
          </c:extLst>
        </c:ser>
        <c:dLbls>
          <c:showLegendKey val="0"/>
          <c:showVal val="0"/>
          <c:showCatName val="0"/>
          <c:showSerName val="0"/>
          <c:showPercent val="0"/>
          <c:showBubbleSize val="0"/>
        </c:dLbls>
        <c:axId val="628939103"/>
        <c:axId val="628941503"/>
      </c:radarChart>
      <c:catAx>
        <c:axId val="628939103"/>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628941503"/>
        <c:crosses val="autoZero"/>
        <c:auto val="1"/>
        <c:lblAlgn val="ctr"/>
        <c:lblOffset val="100"/>
        <c:noMultiLvlLbl val="0"/>
      </c:catAx>
      <c:valAx>
        <c:axId val="628941503"/>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628939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1</xdr:col>
      <xdr:colOff>1939924</xdr:colOff>
      <xdr:row>79</xdr:row>
      <xdr:rowOff>25400</xdr:rowOff>
    </xdr:from>
    <xdr:to>
      <xdr:col>9</xdr:col>
      <xdr:colOff>317499</xdr:colOff>
      <xdr:row>101</xdr:row>
      <xdr:rowOff>50800</xdr:rowOff>
    </xdr:to>
    <xdr:graphicFrame macro="">
      <xdr:nvGraphicFramePr>
        <xdr:cNvPr id="2" name="Gráfico 1">
          <a:extLst>
            <a:ext uri="{FF2B5EF4-FFF2-40B4-BE49-F238E27FC236}">
              <a16:creationId xmlns:a16="http://schemas.microsoft.com/office/drawing/2014/main" id="{C54C4324-2E81-39AD-15DA-8F7371CD57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103185</xdr:colOff>
      <xdr:row>78</xdr:row>
      <xdr:rowOff>150814</xdr:rowOff>
    </xdr:from>
    <xdr:to>
      <xdr:col>17</xdr:col>
      <xdr:colOff>595312</xdr:colOff>
      <xdr:row>101</xdr:row>
      <xdr:rowOff>4764</xdr:rowOff>
    </xdr:to>
    <xdr:graphicFrame macro="">
      <xdr:nvGraphicFramePr>
        <xdr:cNvPr id="3" name="Gráfico 2">
          <a:extLst>
            <a:ext uri="{FF2B5EF4-FFF2-40B4-BE49-F238E27FC236}">
              <a16:creationId xmlns:a16="http://schemas.microsoft.com/office/drawing/2014/main" id="{F3969C22-7A03-1048-E0B4-C60626D5E9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686592</xdr:colOff>
      <xdr:row>78</xdr:row>
      <xdr:rowOff>148431</xdr:rowOff>
    </xdr:from>
    <xdr:to>
      <xdr:col>22</xdr:col>
      <xdr:colOff>2849561</xdr:colOff>
      <xdr:row>100</xdr:row>
      <xdr:rowOff>127000</xdr:rowOff>
    </xdr:to>
    <xdr:graphicFrame macro="">
      <xdr:nvGraphicFramePr>
        <xdr:cNvPr id="4" name="Gráfico 3">
          <a:extLst>
            <a:ext uri="{FF2B5EF4-FFF2-40B4-BE49-F238E27FC236}">
              <a16:creationId xmlns:a16="http://schemas.microsoft.com/office/drawing/2014/main" id="{473F1450-727B-5506-F90D-22D31B5D63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1939924</xdr:colOff>
      <xdr:row>77</xdr:row>
      <xdr:rowOff>25400</xdr:rowOff>
    </xdr:from>
    <xdr:to>
      <xdr:col>9</xdr:col>
      <xdr:colOff>317499</xdr:colOff>
      <xdr:row>99</xdr:row>
      <xdr:rowOff>50800</xdr:rowOff>
    </xdr:to>
    <xdr:graphicFrame macro="">
      <xdr:nvGraphicFramePr>
        <xdr:cNvPr id="2" name="Gráfico 1">
          <a:extLst>
            <a:ext uri="{FF2B5EF4-FFF2-40B4-BE49-F238E27FC236}">
              <a16:creationId xmlns:a16="http://schemas.microsoft.com/office/drawing/2014/main" id="{CD1DD136-DDCE-43DB-A575-340AF9380D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103185</xdr:colOff>
      <xdr:row>76</xdr:row>
      <xdr:rowOff>150814</xdr:rowOff>
    </xdr:from>
    <xdr:to>
      <xdr:col>17</xdr:col>
      <xdr:colOff>595312</xdr:colOff>
      <xdr:row>99</xdr:row>
      <xdr:rowOff>4764</xdr:rowOff>
    </xdr:to>
    <xdr:graphicFrame macro="">
      <xdr:nvGraphicFramePr>
        <xdr:cNvPr id="3" name="Gráfico 2">
          <a:extLst>
            <a:ext uri="{FF2B5EF4-FFF2-40B4-BE49-F238E27FC236}">
              <a16:creationId xmlns:a16="http://schemas.microsoft.com/office/drawing/2014/main" id="{0FFC6902-6B1C-40BC-9068-336982952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686592</xdr:colOff>
      <xdr:row>76</xdr:row>
      <xdr:rowOff>148431</xdr:rowOff>
    </xdr:from>
    <xdr:to>
      <xdr:col>22</xdr:col>
      <xdr:colOff>2849561</xdr:colOff>
      <xdr:row>98</xdr:row>
      <xdr:rowOff>127000</xdr:rowOff>
    </xdr:to>
    <xdr:graphicFrame macro="">
      <xdr:nvGraphicFramePr>
        <xdr:cNvPr id="4" name="Gráfico 3">
          <a:extLst>
            <a:ext uri="{FF2B5EF4-FFF2-40B4-BE49-F238E27FC236}">
              <a16:creationId xmlns:a16="http://schemas.microsoft.com/office/drawing/2014/main" id="{EA228256-CFB5-4022-ABFE-6757D68D6B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1939924</xdr:colOff>
      <xdr:row>79</xdr:row>
      <xdr:rowOff>25400</xdr:rowOff>
    </xdr:from>
    <xdr:to>
      <xdr:col>9</xdr:col>
      <xdr:colOff>317499</xdr:colOff>
      <xdr:row>101</xdr:row>
      <xdr:rowOff>50800</xdr:rowOff>
    </xdr:to>
    <xdr:graphicFrame macro="">
      <xdr:nvGraphicFramePr>
        <xdr:cNvPr id="2" name="Gráfico 1">
          <a:extLst>
            <a:ext uri="{FF2B5EF4-FFF2-40B4-BE49-F238E27FC236}">
              <a16:creationId xmlns:a16="http://schemas.microsoft.com/office/drawing/2014/main" id="{CE7D4440-530C-4BDF-8E10-F99B375B33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103185</xdr:colOff>
      <xdr:row>78</xdr:row>
      <xdr:rowOff>150814</xdr:rowOff>
    </xdr:from>
    <xdr:to>
      <xdr:col>17</xdr:col>
      <xdr:colOff>595312</xdr:colOff>
      <xdr:row>101</xdr:row>
      <xdr:rowOff>4764</xdr:rowOff>
    </xdr:to>
    <xdr:graphicFrame macro="">
      <xdr:nvGraphicFramePr>
        <xdr:cNvPr id="3" name="Gráfico 2">
          <a:extLst>
            <a:ext uri="{FF2B5EF4-FFF2-40B4-BE49-F238E27FC236}">
              <a16:creationId xmlns:a16="http://schemas.microsoft.com/office/drawing/2014/main" id="{5BA7B4D5-FE5B-45C0-8BD4-479241D4AF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686592</xdr:colOff>
      <xdr:row>78</xdr:row>
      <xdr:rowOff>148431</xdr:rowOff>
    </xdr:from>
    <xdr:to>
      <xdr:col>22</xdr:col>
      <xdr:colOff>2849561</xdr:colOff>
      <xdr:row>100</xdr:row>
      <xdr:rowOff>127000</xdr:rowOff>
    </xdr:to>
    <xdr:graphicFrame macro="">
      <xdr:nvGraphicFramePr>
        <xdr:cNvPr id="4" name="Gráfico 3">
          <a:extLst>
            <a:ext uri="{FF2B5EF4-FFF2-40B4-BE49-F238E27FC236}">
              <a16:creationId xmlns:a16="http://schemas.microsoft.com/office/drawing/2014/main" id="{B5293721-3B86-4555-8291-FD4619BA32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1939924</xdr:colOff>
      <xdr:row>78</xdr:row>
      <xdr:rowOff>25400</xdr:rowOff>
    </xdr:from>
    <xdr:to>
      <xdr:col>9</xdr:col>
      <xdr:colOff>317499</xdr:colOff>
      <xdr:row>100</xdr:row>
      <xdr:rowOff>50800</xdr:rowOff>
    </xdr:to>
    <xdr:graphicFrame macro="">
      <xdr:nvGraphicFramePr>
        <xdr:cNvPr id="2" name="Gráfico 1">
          <a:extLst>
            <a:ext uri="{FF2B5EF4-FFF2-40B4-BE49-F238E27FC236}">
              <a16:creationId xmlns:a16="http://schemas.microsoft.com/office/drawing/2014/main" id="{92CB51E2-9146-4B96-A626-0807BC9345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103185</xdr:colOff>
      <xdr:row>77</xdr:row>
      <xdr:rowOff>150814</xdr:rowOff>
    </xdr:from>
    <xdr:to>
      <xdr:col>17</xdr:col>
      <xdr:colOff>595312</xdr:colOff>
      <xdr:row>100</xdr:row>
      <xdr:rowOff>4764</xdr:rowOff>
    </xdr:to>
    <xdr:graphicFrame macro="">
      <xdr:nvGraphicFramePr>
        <xdr:cNvPr id="3" name="Gráfico 2">
          <a:extLst>
            <a:ext uri="{FF2B5EF4-FFF2-40B4-BE49-F238E27FC236}">
              <a16:creationId xmlns:a16="http://schemas.microsoft.com/office/drawing/2014/main" id="{7F2883E9-BC02-4B4D-8655-878F2FF6EC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686592</xdr:colOff>
      <xdr:row>77</xdr:row>
      <xdr:rowOff>148431</xdr:rowOff>
    </xdr:from>
    <xdr:to>
      <xdr:col>22</xdr:col>
      <xdr:colOff>2849561</xdr:colOff>
      <xdr:row>99</xdr:row>
      <xdr:rowOff>127000</xdr:rowOff>
    </xdr:to>
    <xdr:graphicFrame macro="">
      <xdr:nvGraphicFramePr>
        <xdr:cNvPr id="4" name="Gráfico 3">
          <a:extLst>
            <a:ext uri="{FF2B5EF4-FFF2-40B4-BE49-F238E27FC236}">
              <a16:creationId xmlns:a16="http://schemas.microsoft.com/office/drawing/2014/main" id="{6DC3B3AE-5395-4E17-999F-CFF556392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1939924</xdr:colOff>
      <xdr:row>79</xdr:row>
      <xdr:rowOff>25400</xdr:rowOff>
    </xdr:from>
    <xdr:to>
      <xdr:col>9</xdr:col>
      <xdr:colOff>317499</xdr:colOff>
      <xdr:row>101</xdr:row>
      <xdr:rowOff>50800</xdr:rowOff>
    </xdr:to>
    <xdr:graphicFrame macro="">
      <xdr:nvGraphicFramePr>
        <xdr:cNvPr id="2" name="Gráfico 1">
          <a:extLst>
            <a:ext uri="{FF2B5EF4-FFF2-40B4-BE49-F238E27FC236}">
              <a16:creationId xmlns:a16="http://schemas.microsoft.com/office/drawing/2014/main" id="{09D3497B-789C-48C1-8F2C-D1ABE994D8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103185</xdr:colOff>
      <xdr:row>78</xdr:row>
      <xdr:rowOff>150814</xdr:rowOff>
    </xdr:from>
    <xdr:to>
      <xdr:col>17</xdr:col>
      <xdr:colOff>595312</xdr:colOff>
      <xdr:row>101</xdr:row>
      <xdr:rowOff>4764</xdr:rowOff>
    </xdr:to>
    <xdr:graphicFrame macro="">
      <xdr:nvGraphicFramePr>
        <xdr:cNvPr id="3" name="Gráfico 2">
          <a:extLst>
            <a:ext uri="{FF2B5EF4-FFF2-40B4-BE49-F238E27FC236}">
              <a16:creationId xmlns:a16="http://schemas.microsoft.com/office/drawing/2014/main" id="{8403015A-45B1-481E-B17C-5AAEDC7596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686592</xdr:colOff>
      <xdr:row>78</xdr:row>
      <xdr:rowOff>148431</xdr:rowOff>
    </xdr:from>
    <xdr:to>
      <xdr:col>22</xdr:col>
      <xdr:colOff>2849561</xdr:colOff>
      <xdr:row>100</xdr:row>
      <xdr:rowOff>127000</xdr:rowOff>
    </xdr:to>
    <xdr:graphicFrame macro="">
      <xdr:nvGraphicFramePr>
        <xdr:cNvPr id="4" name="Gráfico 3">
          <a:extLst>
            <a:ext uri="{FF2B5EF4-FFF2-40B4-BE49-F238E27FC236}">
              <a16:creationId xmlns:a16="http://schemas.microsoft.com/office/drawing/2014/main" id="{E4FC4B05-8529-4F57-8803-2A3B4739C4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15875</xdr:colOff>
      <xdr:row>13</xdr:row>
      <xdr:rowOff>12700</xdr:rowOff>
    </xdr:from>
    <xdr:to>
      <xdr:col>7</xdr:col>
      <xdr:colOff>15875</xdr:colOff>
      <xdr:row>30</xdr:row>
      <xdr:rowOff>57150</xdr:rowOff>
    </xdr:to>
    <xdr:graphicFrame macro="">
      <xdr:nvGraphicFramePr>
        <xdr:cNvPr id="2" name="Gráfico 1">
          <a:extLst>
            <a:ext uri="{FF2B5EF4-FFF2-40B4-BE49-F238E27FC236}">
              <a16:creationId xmlns:a16="http://schemas.microsoft.com/office/drawing/2014/main" id="{8D2A93B2-1659-F3FD-F32D-0D8B748969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257174</xdr:colOff>
      <xdr:row>13</xdr:row>
      <xdr:rowOff>6350</xdr:rowOff>
    </xdr:from>
    <xdr:to>
      <xdr:col>13</xdr:col>
      <xdr:colOff>330199</xdr:colOff>
      <xdr:row>30</xdr:row>
      <xdr:rowOff>63500</xdr:rowOff>
    </xdr:to>
    <xdr:graphicFrame macro="">
      <xdr:nvGraphicFramePr>
        <xdr:cNvPr id="3" name="Gráfico 2">
          <a:extLst>
            <a:ext uri="{FF2B5EF4-FFF2-40B4-BE49-F238E27FC236}">
              <a16:creationId xmlns:a16="http://schemas.microsoft.com/office/drawing/2014/main" id="{6A31109B-656A-C7E6-79F5-4926E98BBD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466725</xdr:colOff>
      <xdr:row>13</xdr:row>
      <xdr:rowOff>19050</xdr:rowOff>
    </xdr:from>
    <xdr:to>
      <xdr:col>19</xdr:col>
      <xdr:colOff>466725</xdr:colOff>
      <xdr:row>30</xdr:row>
      <xdr:rowOff>63500</xdr:rowOff>
    </xdr:to>
    <xdr:graphicFrame macro="">
      <xdr:nvGraphicFramePr>
        <xdr:cNvPr id="4" name="Gráfico 3">
          <a:extLst>
            <a:ext uri="{FF2B5EF4-FFF2-40B4-BE49-F238E27FC236}">
              <a16:creationId xmlns:a16="http://schemas.microsoft.com/office/drawing/2014/main" id="{05BA7708-B159-212A-C69B-D8BEEF4522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15875</xdr:colOff>
      <xdr:row>13</xdr:row>
      <xdr:rowOff>12700</xdr:rowOff>
    </xdr:from>
    <xdr:to>
      <xdr:col>7</xdr:col>
      <xdr:colOff>15875</xdr:colOff>
      <xdr:row>30</xdr:row>
      <xdr:rowOff>57150</xdr:rowOff>
    </xdr:to>
    <xdr:graphicFrame macro="">
      <xdr:nvGraphicFramePr>
        <xdr:cNvPr id="2" name="Gráfico 1">
          <a:extLst>
            <a:ext uri="{FF2B5EF4-FFF2-40B4-BE49-F238E27FC236}">
              <a16:creationId xmlns:a16="http://schemas.microsoft.com/office/drawing/2014/main" id="{C9494183-0A5D-453E-8073-4F2293D2C1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257174</xdr:colOff>
      <xdr:row>13</xdr:row>
      <xdr:rowOff>6350</xdr:rowOff>
    </xdr:from>
    <xdr:to>
      <xdr:col>13</xdr:col>
      <xdr:colOff>330199</xdr:colOff>
      <xdr:row>30</xdr:row>
      <xdr:rowOff>63500</xdr:rowOff>
    </xdr:to>
    <xdr:graphicFrame macro="">
      <xdr:nvGraphicFramePr>
        <xdr:cNvPr id="3" name="Gráfico 2">
          <a:extLst>
            <a:ext uri="{FF2B5EF4-FFF2-40B4-BE49-F238E27FC236}">
              <a16:creationId xmlns:a16="http://schemas.microsoft.com/office/drawing/2014/main" id="{D1C1FEA5-8C35-458D-BD9C-58249572F3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466725</xdr:colOff>
      <xdr:row>13</xdr:row>
      <xdr:rowOff>19050</xdr:rowOff>
    </xdr:from>
    <xdr:to>
      <xdr:col>19</xdr:col>
      <xdr:colOff>466725</xdr:colOff>
      <xdr:row>30</xdr:row>
      <xdr:rowOff>63500</xdr:rowOff>
    </xdr:to>
    <xdr:graphicFrame macro="">
      <xdr:nvGraphicFramePr>
        <xdr:cNvPr id="4" name="Gráfico 3">
          <a:extLst>
            <a:ext uri="{FF2B5EF4-FFF2-40B4-BE49-F238E27FC236}">
              <a16:creationId xmlns:a16="http://schemas.microsoft.com/office/drawing/2014/main" id="{D5366664-1DAB-425C-ABD6-DAEA58EB23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1" displayName="Form_Responses1" ref="A1:AI146" headerRowDxfId="0">
  <autoFilter ref="A1:AI146" xr:uid="{00000000-000C-0000-FFFF-FFFF00000000}">
    <filterColumn colId="5">
      <filters>
        <filter val="7"/>
      </filters>
    </filterColumn>
  </autoFilter>
  <tableColumns count="35">
    <tableColumn id="35" xr3:uid="{87BDA690-B704-4D41-B645-BAE1B5201F91}" name="tipo_panel" dataDxfId="1"/>
    <tableColumn id="34" xr3:uid="{B2EBE649-95CA-46D2-B850-E64B1D8BD25A}" name="id_panel" dataDxfId="2"/>
    <tableColumn id="1" xr3:uid="{00000000-0010-0000-0000-000001000000}" name="Marca temporal"/>
    <tableColumn id="2" xr3:uid="{00000000-0010-0000-0000-000002000000}" name="Nombre de catador/a"/>
    <tableColumn id="3" xr3:uid="{00000000-0010-0000-0000-000003000000}" name="Categorización de catador "/>
    <tableColumn id="4" xr3:uid="{00000000-0010-0000-0000-000004000000}" name="N° Muestra a analizar"/>
    <tableColumn id="5" xr3:uid="{00000000-0010-0000-0000-000005000000}" name="AROMA, Intensidad _x000a_Seleccionar solo una opción [Ahumado]"/>
    <tableColumn id="6" xr3:uid="{00000000-0010-0000-0000-000006000000}" name="AROMA, Carácter Humo_x000a_Seleccionar solo una opción por cada fila [Medicinal]"/>
    <tableColumn id="7" xr3:uid="{00000000-0010-0000-0000-000007000000}" name="AROMA, Carácter Humo_x000a_Seleccionar solo una opción por cada fila [Terroso]"/>
    <tableColumn id="8" xr3:uid="{00000000-0010-0000-0000-000008000000}" name="AROMA, Carácter Humo_x000a_Seleccionar solo una opción por cada fila [Amaderado]"/>
    <tableColumn id="9" xr3:uid="{00000000-0010-0000-0000-000009000000}" name="AROMA, Carácter Humo_x000a_Seleccionar solo una opción por cada fila [Café]"/>
    <tableColumn id="10" xr3:uid="{00000000-0010-0000-0000-00000A000000}" name="AROMA, Carácter Humo_x000a_Seleccionar solo una opción por cada fila [Otro]"/>
    <tableColumn id="11" xr3:uid="{00000000-0010-0000-0000-00000B000000}" name="Si marcó otro,  especifique el descriptor que percibió"/>
    <tableColumn id="12" xr3:uid="{00000000-0010-0000-0000-00000C000000}" name="AROMA, Notas adicionales _x000a_Seleccionar solo una opción por cada fila [Frutal]"/>
    <tableColumn id="13" xr3:uid="{00000000-0010-0000-0000-00000D000000}" name="AROMA, Notas adicionales _x000a_Seleccionar solo una opción por cada fila [Vainilla]"/>
    <tableColumn id="14" xr3:uid="{00000000-0010-0000-0000-00000E000000}" name="AROMA, Notas adicionales _x000a_Seleccionar solo una opción por cada fila [Cereal ]"/>
    <tableColumn id="15" xr3:uid="{00000000-0010-0000-0000-00000F000000}" name="Si percibió otras notas aromáticas en el destilado, especifique"/>
    <tableColumn id="16" xr3:uid="{00000000-0010-0000-0000-000010000000}" name="SABOR: Intensidad de ahumado_x000a_Seleccionar solo una opción "/>
    <tableColumn id="17" xr3:uid="{00000000-0010-0000-0000-000011000000}" name="SABOR: Carácter Humo_x000a_Seleccionar solo una opción por cada fila [Medicinal]"/>
    <tableColumn id="18" xr3:uid="{00000000-0010-0000-0000-000012000000}" name="SABOR: Carácter Humo_x000a_Seleccionar solo una opción por cada fila [Terroso]"/>
    <tableColumn id="19" xr3:uid="{00000000-0010-0000-0000-000013000000}" name="SABOR: Carácter Humo_x000a_Seleccionar solo una opción por cada fila [Amaderado]"/>
    <tableColumn id="20" xr3:uid="{00000000-0010-0000-0000-000014000000}" name="SABOR: Carácter Humo_x000a_Seleccionar solo una opción por cada fila [Café]"/>
    <tableColumn id="21" xr3:uid="{00000000-0010-0000-0000-000015000000}" name="SABOR, Notas adicionales _x000a_Seleccionar solo una opción por cada fila [Frutal]"/>
    <tableColumn id="22" xr3:uid="{00000000-0010-0000-0000-000016000000}" name="SABOR, Notas adicionales _x000a_Seleccionar solo una opción por cada fila [Vainilla]"/>
    <tableColumn id="23" xr3:uid="{00000000-0010-0000-0000-000017000000}" name="SABOR, Notas adicionales _x000a_Seleccionar solo una opción por cada fila [Cereal ]"/>
    <tableColumn id="24" xr3:uid="{00000000-0010-0000-0000-000018000000}" name="Si percibió otras notas de sabores en el destilado, especifique"/>
    <tableColumn id="25" xr3:uid="{00000000-0010-0000-0000-000019000000}" name="SABOR: Sensación en boca"/>
    <tableColumn id="26" xr3:uid="{00000000-0010-0000-0000-00001A000000}" name="REGUSTO-FINAL_x000a_Seleccionar solo una opción por cada fila [Duración]"/>
    <tableColumn id="27" xr3:uid="{00000000-0010-0000-0000-00001B000000}" name="REGUSTO-FINAL_x000a_Seleccionar solo una opción por cada fila [Ahumado]"/>
    <tableColumn id="28" xr3:uid="{00000000-0010-0000-0000-00001C000000}" name="REGUSTO-FINAL_x000a_Seleccionar solo una opción por cada fila [Complejidad]"/>
    <tableColumn id="29" xr3:uid="{00000000-0010-0000-0000-00001D000000}" name="Integración del ahumado con otros sabores_x000a_1: El ahumado domina por completo, opacando otros sabores. _x000a_5: El ahumado se percibe sutil y perfectamente integrado con los demás sabores. _x000a__x000a_Seleccionar solo una opción"/>
    <tableColumn id="30" xr3:uid="{00000000-0010-0000-0000-00001E000000}" name="Armonía entre nariz, paladar y final._x000a_1: Las notas aromáticas, el sabor en boca y el retrogusto no están en sintonía. _x000a_5: Todas las etapas se complementan de manera fluida y balanceada. _x000a__x000a_Seleccionar solo una opción"/>
    <tableColumn id="31" xr3:uid="{00000000-0010-0000-0000-00001F000000}" name="Tomabilidad (enfocada en el ahumado): _x000a__x000a_1: Difícil de beber debido a un ahumado demasiado intenso o dominante. _x000a_5: Fácil de disfrutar, con un ahumado bien equilibrado que se integra armoniosamente en el perfil del destilado. _x000a__x000a_Seleccionar solo una opción"/>
    <tableColumn id="32" xr3:uid="{00000000-0010-0000-0000-000020000000}" name="Notas de cata"/>
    <tableColumn id="33" xr3:uid="{00000000-0010-0000-0000-000021000000}" name="Comentarios"/>
  </tableColumns>
  <tableStyleInfo name="Respuestas de formula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I146"/>
  <sheetViews>
    <sheetView topLeftCell="V1" zoomScale="70" zoomScaleNormal="70" workbookViewId="0">
      <pane ySplit="1" topLeftCell="A2" activePane="bottomLeft" state="frozen"/>
      <selection pane="bottomLeft" activeCell="AB1" sqref="A1:XFD1"/>
    </sheetView>
  </sheetViews>
  <sheetFormatPr baseColWidth="10" defaultColWidth="12.6640625" defaultRowHeight="15.75" customHeight="1" x14ac:dyDescent="0.35"/>
  <cols>
    <col min="1" max="1" width="18.796875" customWidth="1"/>
    <col min="2" max="2" width="29.06640625" customWidth="1"/>
    <col min="3" max="3" width="24.796875" customWidth="1"/>
    <col min="4" max="4" width="20.796875" customWidth="1"/>
    <col min="5" max="5" width="34" customWidth="1"/>
    <col min="6" max="15" width="37.6640625" customWidth="1"/>
    <col min="16" max="16" width="28.33203125" customWidth="1"/>
    <col min="17" max="24" width="37.6640625" customWidth="1"/>
    <col min="25" max="25" width="25" customWidth="1"/>
    <col min="26" max="31" width="37.6640625" customWidth="1"/>
    <col min="32" max="39" width="18.796875" customWidth="1"/>
  </cols>
  <sheetData>
    <row r="1" spans="1:35" s="27" customFormat="1" ht="15.75" customHeight="1" x14ac:dyDescent="0.4">
      <c r="A1" s="43" t="s">
        <v>309</v>
      </c>
      <c r="B1" s="43" t="s">
        <v>310</v>
      </c>
      <c r="C1" s="44" t="s">
        <v>0</v>
      </c>
      <c r="D1" s="41" t="s">
        <v>1</v>
      </c>
      <c r="E1" s="41" t="s">
        <v>2</v>
      </c>
      <c r="F1" s="41" t="s">
        <v>3</v>
      </c>
      <c r="G1" s="41" t="s">
        <v>317</v>
      </c>
      <c r="H1" s="41" t="s">
        <v>318</v>
      </c>
      <c r="I1" s="41" t="s">
        <v>319</v>
      </c>
      <c r="J1" s="41" t="s">
        <v>320</v>
      </c>
      <c r="K1" s="41" t="s">
        <v>321</v>
      </c>
      <c r="L1" s="41" t="s">
        <v>322</v>
      </c>
      <c r="M1" s="41" t="s">
        <v>323</v>
      </c>
      <c r="N1" s="41" t="s">
        <v>324</v>
      </c>
      <c r="O1" s="41" t="s">
        <v>325</v>
      </c>
      <c r="P1" s="41" t="s">
        <v>326</v>
      </c>
      <c r="Q1" s="41" t="s">
        <v>327</v>
      </c>
      <c r="R1" s="41" t="s">
        <v>328</v>
      </c>
      <c r="S1" s="41" t="s">
        <v>329</v>
      </c>
      <c r="T1" s="41" t="s">
        <v>330</v>
      </c>
      <c r="U1" s="41" t="s">
        <v>331</v>
      </c>
      <c r="V1" s="41" t="s">
        <v>332</v>
      </c>
      <c r="W1" s="41" t="s">
        <v>333</v>
      </c>
      <c r="X1" s="41" t="s">
        <v>334</v>
      </c>
      <c r="Y1" s="41" t="s">
        <v>335</v>
      </c>
      <c r="Z1" s="41" t="s">
        <v>336</v>
      </c>
      <c r="AA1" s="41" t="s">
        <v>7</v>
      </c>
      <c r="AB1" s="41" t="s">
        <v>337</v>
      </c>
      <c r="AC1" s="41" t="s">
        <v>338</v>
      </c>
      <c r="AD1" s="41" t="s">
        <v>339</v>
      </c>
      <c r="AE1" s="41" t="s">
        <v>340</v>
      </c>
      <c r="AF1" s="41" t="s">
        <v>341</v>
      </c>
      <c r="AG1" s="41" t="s">
        <v>342</v>
      </c>
      <c r="AH1" s="41" t="s">
        <v>14</v>
      </c>
      <c r="AI1" s="42" t="s">
        <v>15</v>
      </c>
    </row>
    <row r="2" spans="1:35" ht="15.75" hidden="1" customHeight="1" x14ac:dyDescent="0.35">
      <c r="A2" s="37" t="s">
        <v>312</v>
      </c>
      <c r="B2" s="37" t="s">
        <v>311</v>
      </c>
      <c r="C2" s="1">
        <v>45664.630764652778</v>
      </c>
      <c r="D2" s="2" t="s">
        <v>16</v>
      </c>
      <c r="E2" s="2" t="s">
        <v>17</v>
      </c>
      <c r="F2" s="2">
        <v>1</v>
      </c>
      <c r="G2" s="2">
        <v>1</v>
      </c>
      <c r="H2" s="2">
        <v>0</v>
      </c>
      <c r="I2" s="2">
        <v>0</v>
      </c>
      <c r="J2" s="2">
        <v>1</v>
      </c>
      <c r="K2" s="2">
        <v>0</v>
      </c>
      <c r="L2" s="2">
        <v>0</v>
      </c>
      <c r="M2" s="2"/>
      <c r="N2" s="2">
        <v>1</v>
      </c>
      <c r="O2" s="2">
        <v>3</v>
      </c>
      <c r="P2" s="2">
        <v>1</v>
      </c>
      <c r="Q2" s="2"/>
      <c r="R2" s="2">
        <v>3</v>
      </c>
      <c r="S2" s="2">
        <v>1</v>
      </c>
      <c r="T2" s="2">
        <v>3</v>
      </c>
      <c r="U2" s="2">
        <v>2</v>
      </c>
      <c r="V2" s="2">
        <v>1</v>
      </c>
      <c r="W2" s="2">
        <v>1</v>
      </c>
      <c r="X2" s="2">
        <v>4</v>
      </c>
      <c r="Y2" s="2">
        <v>1</v>
      </c>
      <c r="Z2" s="2"/>
      <c r="AA2" s="2">
        <v>2</v>
      </c>
      <c r="AB2" s="2">
        <v>4</v>
      </c>
      <c r="AC2" s="2">
        <v>3</v>
      </c>
      <c r="AD2" s="2">
        <v>2</v>
      </c>
      <c r="AE2" s="2">
        <v>3</v>
      </c>
      <c r="AF2" s="2">
        <v>2</v>
      </c>
      <c r="AG2" s="2">
        <v>3</v>
      </c>
      <c r="AH2" s="2" t="s">
        <v>18</v>
      </c>
      <c r="AI2" s="3"/>
    </row>
    <row r="3" spans="1:35" ht="15.75" hidden="1" customHeight="1" x14ac:dyDescent="0.35">
      <c r="A3" s="37" t="s">
        <v>312</v>
      </c>
      <c r="B3" s="37" t="s">
        <v>311</v>
      </c>
      <c r="C3" s="4">
        <v>45664.631468437496</v>
      </c>
      <c r="D3" s="5" t="s">
        <v>19</v>
      </c>
      <c r="E3" s="5" t="s">
        <v>20</v>
      </c>
      <c r="F3" s="5">
        <v>1</v>
      </c>
      <c r="G3" s="5">
        <v>4</v>
      </c>
      <c r="H3" s="5">
        <v>2</v>
      </c>
      <c r="I3" s="5">
        <v>1</v>
      </c>
      <c r="J3" s="5" t="s">
        <v>21</v>
      </c>
      <c r="K3" s="5">
        <v>0</v>
      </c>
      <c r="L3" s="5">
        <v>0</v>
      </c>
      <c r="M3" s="5"/>
      <c r="N3" s="5">
        <v>4</v>
      </c>
      <c r="O3" s="5">
        <v>1</v>
      </c>
      <c r="P3" s="5">
        <v>1</v>
      </c>
      <c r="Q3" s="5"/>
      <c r="R3" s="5">
        <v>1</v>
      </c>
      <c r="S3" s="5">
        <v>1</v>
      </c>
      <c r="T3" s="5">
        <v>1</v>
      </c>
      <c r="U3" s="5">
        <v>3</v>
      </c>
      <c r="V3" s="5">
        <v>2</v>
      </c>
      <c r="W3" s="5">
        <v>4</v>
      </c>
      <c r="X3" s="5">
        <v>1</v>
      </c>
      <c r="Y3" s="5">
        <v>2</v>
      </c>
      <c r="Z3" s="5"/>
      <c r="AA3" s="5">
        <v>1</v>
      </c>
      <c r="AB3" s="5">
        <v>4</v>
      </c>
      <c r="AC3" s="5">
        <v>1</v>
      </c>
      <c r="AD3" s="5">
        <v>2</v>
      </c>
      <c r="AE3" s="5">
        <v>5</v>
      </c>
      <c r="AF3" s="5">
        <v>3</v>
      </c>
      <c r="AG3" s="5">
        <v>3</v>
      </c>
      <c r="AH3" s="5"/>
      <c r="AI3" s="6" t="s">
        <v>22</v>
      </c>
    </row>
    <row r="4" spans="1:35" ht="15.75" hidden="1" customHeight="1" x14ac:dyDescent="0.35">
      <c r="A4" s="37" t="s">
        <v>312</v>
      </c>
      <c r="B4" s="37" t="s">
        <v>311</v>
      </c>
      <c r="C4" s="1">
        <v>45664.6323972338</v>
      </c>
      <c r="D4" s="2" t="s">
        <v>23</v>
      </c>
      <c r="E4" s="2" t="s">
        <v>20</v>
      </c>
      <c r="F4" s="2">
        <v>1</v>
      </c>
      <c r="G4" s="2">
        <v>3</v>
      </c>
      <c r="H4" s="2">
        <v>1</v>
      </c>
      <c r="I4" s="2">
        <v>0</v>
      </c>
      <c r="J4" s="2">
        <v>2</v>
      </c>
      <c r="K4" s="2">
        <v>1</v>
      </c>
      <c r="L4" s="2">
        <v>0</v>
      </c>
      <c r="M4" s="2"/>
      <c r="N4" s="2">
        <v>3</v>
      </c>
      <c r="O4" s="2">
        <v>2</v>
      </c>
      <c r="P4" s="2">
        <v>3</v>
      </c>
      <c r="Q4" s="2"/>
      <c r="R4" s="2">
        <v>2</v>
      </c>
      <c r="S4" s="2">
        <v>3</v>
      </c>
      <c r="T4" s="2">
        <v>1</v>
      </c>
      <c r="U4" s="2">
        <v>3</v>
      </c>
      <c r="V4" s="2">
        <v>3</v>
      </c>
      <c r="W4" s="2">
        <v>3</v>
      </c>
      <c r="X4" s="2">
        <v>4</v>
      </c>
      <c r="Y4" s="2">
        <v>2</v>
      </c>
      <c r="Z4" s="2"/>
      <c r="AA4" s="2">
        <v>3</v>
      </c>
      <c r="AB4" s="2">
        <v>2</v>
      </c>
      <c r="AC4" s="2">
        <v>3</v>
      </c>
      <c r="AD4" s="2">
        <v>1</v>
      </c>
      <c r="AE4" s="2">
        <v>3</v>
      </c>
      <c r="AF4" s="2">
        <v>3</v>
      </c>
      <c r="AG4" s="2">
        <v>4</v>
      </c>
      <c r="AH4" s="2">
        <v>6.8</v>
      </c>
      <c r="AI4" s="3"/>
    </row>
    <row r="5" spans="1:35" ht="15.75" hidden="1" customHeight="1" x14ac:dyDescent="0.35">
      <c r="A5" s="37" t="s">
        <v>312</v>
      </c>
      <c r="B5" s="37" t="s">
        <v>311</v>
      </c>
      <c r="C5" s="4">
        <v>45664.633067696763</v>
      </c>
      <c r="D5" s="5" t="s">
        <v>24</v>
      </c>
      <c r="E5" s="5" t="s">
        <v>20</v>
      </c>
      <c r="F5" s="5">
        <v>1</v>
      </c>
      <c r="G5" s="5">
        <v>2</v>
      </c>
      <c r="H5" s="5">
        <v>0</v>
      </c>
      <c r="I5" s="5">
        <v>3</v>
      </c>
      <c r="J5" s="5">
        <v>1</v>
      </c>
      <c r="K5" s="5">
        <v>1</v>
      </c>
      <c r="L5" s="5">
        <v>2</v>
      </c>
      <c r="M5" s="5" t="s">
        <v>25</v>
      </c>
      <c r="N5" s="5">
        <v>3</v>
      </c>
      <c r="O5" s="5">
        <v>2</v>
      </c>
      <c r="P5" s="5">
        <v>2</v>
      </c>
      <c r="Q5" s="5"/>
      <c r="R5" s="5">
        <v>2</v>
      </c>
      <c r="S5" s="5">
        <v>4</v>
      </c>
      <c r="T5" s="5">
        <v>2</v>
      </c>
      <c r="U5" s="5">
        <v>2</v>
      </c>
      <c r="V5" s="5">
        <v>1</v>
      </c>
      <c r="W5" s="5">
        <v>3</v>
      </c>
      <c r="X5" s="5">
        <v>2</v>
      </c>
      <c r="Y5" s="5">
        <v>1</v>
      </c>
      <c r="Z5" s="5"/>
      <c r="AA5" s="5">
        <v>2</v>
      </c>
      <c r="AB5" s="5">
        <v>4</v>
      </c>
      <c r="AC5" s="5">
        <v>2</v>
      </c>
      <c r="AD5" s="5">
        <v>1</v>
      </c>
      <c r="AE5" s="5">
        <v>4</v>
      </c>
      <c r="AF5" s="5">
        <v>2</v>
      </c>
      <c r="AG5" s="5">
        <v>3</v>
      </c>
      <c r="AH5" s="5" t="s">
        <v>26</v>
      </c>
      <c r="AI5" s="6"/>
    </row>
    <row r="6" spans="1:35" ht="15.75" hidden="1" customHeight="1" x14ac:dyDescent="0.35">
      <c r="A6" s="37" t="s">
        <v>312</v>
      </c>
      <c r="B6" s="37" t="s">
        <v>311</v>
      </c>
      <c r="C6" s="1">
        <v>45664.633455706018</v>
      </c>
      <c r="D6" s="2" t="s">
        <v>27</v>
      </c>
      <c r="E6" s="2" t="s">
        <v>20</v>
      </c>
      <c r="F6" s="2">
        <v>1</v>
      </c>
      <c r="G6" s="2">
        <v>1</v>
      </c>
      <c r="H6" s="2">
        <v>1</v>
      </c>
      <c r="I6" s="2">
        <v>0</v>
      </c>
      <c r="J6" s="2">
        <v>1</v>
      </c>
      <c r="K6" s="2">
        <v>0</v>
      </c>
      <c r="L6" s="2">
        <v>0</v>
      </c>
      <c r="M6" s="2"/>
      <c r="N6" s="2">
        <v>4</v>
      </c>
      <c r="O6" s="2">
        <v>3</v>
      </c>
      <c r="P6" s="2">
        <v>1</v>
      </c>
      <c r="Q6" s="2"/>
      <c r="R6" s="2">
        <v>1</v>
      </c>
      <c r="S6" s="2">
        <v>2</v>
      </c>
      <c r="T6" s="2">
        <v>1</v>
      </c>
      <c r="U6" s="2">
        <v>1</v>
      </c>
      <c r="V6" s="2">
        <v>1</v>
      </c>
      <c r="W6" s="2">
        <v>4</v>
      </c>
      <c r="X6" s="2">
        <v>3</v>
      </c>
      <c r="Y6" s="2">
        <v>1</v>
      </c>
      <c r="Z6" s="2"/>
      <c r="AA6" s="2">
        <v>2</v>
      </c>
      <c r="AB6" s="2">
        <v>2</v>
      </c>
      <c r="AC6" s="2">
        <v>0</v>
      </c>
      <c r="AD6" s="2">
        <v>1</v>
      </c>
      <c r="AE6" s="2">
        <v>4</v>
      </c>
      <c r="AF6" s="2">
        <v>3</v>
      </c>
      <c r="AG6" s="2">
        <v>3</v>
      </c>
      <c r="AH6" s="2"/>
      <c r="AI6" s="3"/>
    </row>
    <row r="7" spans="1:35" ht="15.75" hidden="1" customHeight="1" x14ac:dyDescent="0.35">
      <c r="A7" s="37" t="s">
        <v>312</v>
      </c>
      <c r="B7" s="37" t="s">
        <v>313</v>
      </c>
      <c r="C7" s="4">
        <v>45664.633636643513</v>
      </c>
      <c r="D7" s="5" t="s">
        <v>28</v>
      </c>
      <c r="E7" s="5" t="s">
        <v>20</v>
      </c>
      <c r="F7" s="5">
        <v>2</v>
      </c>
      <c r="G7" s="5">
        <v>5</v>
      </c>
      <c r="H7" s="5">
        <v>1</v>
      </c>
      <c r="I7" s="5">
        <v>3</v>
      </c>
      <c r="J7" s="5">
        <v>4</v>
      </c>
      <c r="K7" s="5">
        <v>4</v>
      </c>
      <c r="L7" s="5">
        <v>0</v>
      </c>
      <c r="M7" s="5"/>
      <c r="N7" s="5">
        <v>4</v>
      </c>
      <c r="O7" s="5">
        <v>2</v>
      </c>
      <c r="P7" s="5">
        <v>1</v>
      </c>
      <c r="Q7" s="5"/>
      <c r="R7" s="5">
        <v>4</v>
      </c>
      <c r="S7" s="5">
        <v>1</v>
      </c>
      <c r="T7" s="5">
        <v>2</v>
      </c>
      <c r="U7" s="5">
        <v>4</v>
      </c>
      <c r="V7" s="5">
        <v>4</v>
      </c>
      <c r="W7" s="5">
        <v>1</v>
      </c>
      <c r="X7" s="5">
        <v>1</v>
      </c>
      <c r="Y7" s="5">
        <v>1</v>
      </c>
      <c r="Z7" s="5"/>
      <c r="AA7" s="5">
        <v>2</v>
      </c>
      <c r="AB7" s="5">
        <v>5</v>
      </c>
      <c r="AC7" s="5">
        <v>4</v>
      </c>
      <c r="AD7" s="5">
        <v>1</v>
      </c>
      <c r="AE7" s="5">
        <v>1</v>
      </c>
      <c r="AF7" s="5">
        <v>2</v>
      </c>
      <c r="AG7" s="5">
        <v>2</v>
      </c>
      <c r="AH7" s="5"/>
      <c r="AI7" s="6"/>
    </row>
    <row r="8" spans="1:35" ht="15.75" hidden="1" customHeight="1" x14ac:dyDescent="0.35">
      <c r="A8" s="37" t="s">
        <v>312</v>
      </c>
      <c r="B8" s="37" t="s">
        <v>311</v>
      </c>
      <c r="C8" s="1">
        <v>45664.633708969908</v>
      </c>
      <c r="D8" s="2" t="s">
        <v>29</v>
      </c>
      <c r="E8" s="2" t="s">
        <v>20</v>
      </c>
      <c r="F8" s="2">
        <v>1</v>
      </c>
      <c r="G8" s="2">
        <v>3</v>
      </c>
      <c r="H8" s="2">
        <v>1</v>
      </c>
      <c r="I8" s="2">
        <v>1</v>
      </c>
      <c r="J8" s="2">
        <v>2</v>
      </c>
      <c r="K8" s="2">
        <v>3</v>
      </c>
      <c r="L8" s="2">
        <v>0</v>
      </c>
      <c r="M8" s="2"/>
      <c r="N8" s="2">
        <v>2</v>
      </c>
      <c r="O8" s="2">
        <v>3</v>
      </c>
      <c r="P8" s="2">
        <v>1</v>
      </c>
      <c r="Q8" s="2"/>
      <c r="R8" s="2">
        <v>2</v>
      </c>
      <c r="S8" s="2">
        <v>3</v>
      </c>
      <c r="T8" s="2">
        <v>2</v>
      </c>
      <c r="U8" s="2">
        <v>1</v>
      </c>
      <c r="V8" s="2">
        <v>1</v>
      </c>
      <c r="W8" s="2">
        <v>1</v>
      </c>
      <c r="X8" s="2">
        <v>1</v>
      </c>
      <c r="Y8" s="2">
        <v>1</v>
      </c>
      <c r="Z8" s="2"/>
      <c r="AA8" s="2">
        <v>2</v>
      </c>
      <c r="AB8" s="2">
        <v>2</v>
      </c>
      <c r="AC8" s="2">
        <v>1</v>
      </c>
      <c r="AD8" s="2">
        <v>3</v>
      </c>
      <c r="AE8" s="2">
        <v>3</v>
      </c>
      <c r="AF8" s="2">
        <v>3</v>
      </c>
      <c r="AG8" s="2">
        <v>5</v>
      </c>
      <c r="AH8" s="2"/>
      <c r="AI8" s="3"/>
    </row>
    <row r="9" spans="1:35" ht="15.75" hidden="1" customHeight="1" x14ac:dyDescent="0.35">
      <c r="A9" s="37" t="s">
        <v>312</v>
      </c>
      <c r="B9" s="37" t="s">
        <v>313</v>
      </c>
      <c r="C9" s="4">
        <v>45664.633779421296</v>
      </c>
      <c r="D9" s="5" t="s">
        <v>16</v>
      </c>
      <c r="E9" s="5" t="s">
        <v>17</v>
      </c>
      <c r="F9" s="5">
        <v>2</v>
      </c>
      <c r="G9" s="5">
        <v>1</v>
      </c>
      <c r="H9" s="5">
        <v>0</v>
      </c>
      <c r="I9" s="5">
        <v>0</v>
      </c>
      <c r="J9" s="5">
        <v>0</v>
      </c>
      <c r="K9" s="5">
        <v>0</v>
      </c>
      <c r="L9" s="5">
        <v>0</v>
      </c>
      <c r="M9" s="5"/>
      <c r="N9" s="5">
        <v>2</v>
      </c>
      <c r="O9" s="5">
        <v>4</v>
      </c>
      <c r="P9" s="5">
        <v>1</v>
      </c>
      <c r="Q9" s="5"/>
      <c r="R9" s="5">
        <v>4</v>
      </c>
      <c r="S9" s="5">
        <v>1</v>
      </c>
      <c r="T9" s="5">
        <v>4</v>
      </c>
      <c r="U9" s="5">
        <v>3</v>
      </c>
      <c r="V9" s="5">
        <v>1</v>
      </c>
      <c r="W9" s="5">
        <v>1</v>
      </c>
      <c r="X9" s="5">
        <v>4</v>
      </c>
      <c r="Y9" s="5">
        <v>3</v>
      </c>
      <c r="Z9" s="5"/>
      <c r="AA9" s="5">
        <v>4</v>
      </c>
      <c r="AB9" s="5">
        <v>4</v>
      </c>
      <c r="AC9" s="5">
        <v>3</v>
      </c>
      <c r="AD9" s="5">
        <v>2</v>
      </c>
      <c r="AE9" s="5">
        <v>2</v>
      </c>
      <c r="AF9" s="5">
        <v>2</v>
      </c>
      <c r="AG9" s="5">
        <v>3</v>
      </c>
      <c r="AH9" s="5"/>
      <c r="AI9" s="6"/>
    </row>
    <row r="10" spans="1:35" ht="15.75" hidden="1" customHeight="1" x14ac:dyDescent="0.35">
      <c r="A10" s="37" t="s">
        <v>312</v>
      </c>
      <c r="B10" s="37" t="s">
        <v>313</v>
      </c>
      <c r="C10" s="1">
        <v>45664.633967199072</v>
      </c>
      <c r="D10" s="2" t="s">
        <v>30</v>
      </c>
      <c r="E10" s="2" t="s">
        <v>20</v>
      </c>
      <c r="F10" s="2">
        <v>2</v>
      </c>
      <c r="G10" s="2">
        <v>3</v>
      </c>
      <c r="H10" s="2">
        <v>2</v>
      </c>
      <c r="I10" s="2">
        <v>4</v>
      </c>
      <c r="J10" s="2">
        <v>5</v>
      </c>
      <c r="K10" s="2">
        <v>3</v>
      </c>
      <c r="L10" s="2">
        <v>0</v>
      </c>
      <c r="M10" s="2"/>
      <c r="N10" s="2">
        <v>2</v>
      </c>
      <c r="O10" s="2">
        <v>2</v>
      </c>
      <c r="P10" s="2">
        <v>4</v>
      </c>
      <c r="Q10" s="2"/>
      <c r="R10" s="2">
        <v>3</v>
      </c>
      <c r="S10" s="2">
        <v>2</v>
      </c>
      <c r="T10" s="2">
        <v>4</v>
      </c>
      <c r="U10" s="2">
        <v>4</v>
      </c>
      <c r="V10" s="2">
        <v>3</v>
      </c>
      <c r="W10" s="2">
        <v>2</v>
      </c>
      <c r="X10" s="2">
        <v>3</v>
      </c>
      <c r="Y10" s="2">
        <v>4</v>
      </c>
      <c r="Z10" s="2"/>
      <c r="AA10" s="2">
        <v>4</v>
      </c>
      <c r="AB10" s="2">
        <v>5</v>
      </c>
      <c r="AC10" s="2">
        <v>4</v>
      </c>
      <c r="AD10" s="2">
        <v>3</v>
      </c>
      <c r="AE10" s="2">
        <v>4</v>
      </c>
      <c r="AF10" s="2">
        <v>4</v>
      </c>
      <c r="AG10" s="2">
        <v>3</v>
      </c>
      <c r="AH10" s="2"/>
      <c r="AI10" s="3"/>
    </row>
    <row r="11" spans="1:35" ht="15.75" hidden="1" customHeight="1" x14ac:dyDescent="0.35">
      <c r="A11" s="37" t="s">
        <v>312</v>
      </c>
      <c r="B11" s="37" t="s">
        <v>315</v>
      </c>
      <c r="C11" s="4">
        <v>45664.634097245369</v>
      </c>
      <c r="D11" s="5" t="s">
        <v>31</v>
      </c>
      <c r="E11" s="5" t="s">
        <v>17</v>
      </c>
      <c r="F11" s="5">
        <v>4</v>
      </c>
      <c r="G11" s="5">
        <v>2</v>
      </c>
      <c r="H11" s="5">
        <v>0</v>
      </c>
      <c r="I11" s="5">
        <v>1</v>
      </c>
      <c r="J11" s="5">
        <v>1</v>
      </c>
      <c r="K11" s="5">
        <v>0</v>
      </c>
      <c r="L11" s="5">
        <v>1</v>
      </c>
      <c r="M11" s="5" t="s">
        <v>32</v>
      </c>
      <c r="N11" s="5">
        <v>3</v>
      </c>
      <c r="O11" s="5">
        <v>3</v>
      </c>
      <c r="P11" s="5">
        <v>1</v>
      </c>
      <c r="Q11" s="5"/>
      <c r="R11" s="5">
        <v>4</v>
      </c>
      <c r="S11" s="5">
        <v>1</v>
      </c>
      <c r="T11" s="5">
        <v>3</v>
      </c>
      <c r="U11" s="5">
        <v>4</v>
      </c>
      <c r="V11" s="5">
        <v>1</v>
      </c>
      <c r="W11" s="5">
        <v>3</v>
      </c>
      <c r="X11" s="5">
        <v>2</v>
      </c>
      <c r="Y11" s="5">
        <v>3</v>
      </c>
      <c r="Z11" s="5"/>
      <c r="AA11" s="5">
        <v>5</v>
      </c>
      <c r="AB11" s="5">
        <v>4</v>
      </c>
      <c r="AC11" s="5">
        <v>3</v>
      </c>
      <c r="AD11" s="5">
        <v>5</v>
      </c>
      <c r="AE11" s="5">
        <v>3</v>
      </c>
      <c r="AF11" s="5">
        <v>2</v>
      </c>
      <c r="AG11" s="5">
        <v>3</v>
      </c>
      <c r="AH11" s="5"/>
      <c r="AI11" s="6"/>
    </row>
    <row r="12" spans="1:35" ht="15.75" hidden="1" customHeight="1" x14ac:dyDescent="0.35">
      <c r="A12" s="37" t="s">
        <v>312</v>
      </c>
      <c r="B12" s="37" t="s">
        <v>311</v>
      </c>
      <c r="C12" s="1">
        <v>45664.634263692133</v>
      </c>
      <c r="D12" s="2" t="s">
        <v>33</v>
      </c>
      <c r="E12" s="2" t="s">
        <v>20</v>
      </c>
      <c r="F12" s="2">
        <v>1</v>
      </c>
      <c r="G12" s="2">
        <v>1</v>
      </c>
      <c r="H12" s="2">
        <v>4</v>
      </c>
      <c r="I12" s="2">
        <v>0</v>
      </c>
      <c r="J12" s="2">
        <v>2</v>
      </c>
      <c r="K12" s="2">
        <v>1</v>
      </c>
      <c r="L12" s="2" t="s">
        <v>34</v>
      </c>
      <c r="M12" s="2"/>
      <c r="N12" s="2">
        <v>5</v>
      </c>
      <c r="O12" s="2">
        <v>2</v>
      </c>
      <c r="P12" s="2">
        <v>1</v>
      </c>
      <c r="Q12" s="2"/>
      <c r="R12" s="2">
        <v>1</v>
      </c>
      <c r="S12" s="2">
        <v>4</v>
      </c>
      <c r="T12" s="2">
        <v>2</v>
      </c>
      <c r="U12" s="2">
        <v>2</v>
      </c>
      <c r="V12" s="2">
        <v>3</v>
      </c>
      <c r="W12" s="2">
        <v>5</v>
      </c>
      <c r="X12" s="2">
        <v>1</v>
      </c>
      <c r="Y12" s="2">
        <v>1</v>
      </c>
      <c r="Z12" s="2"/>
      <c r="AA12" s="2">
        <v>5</v>
      </c>
      <c r="AB12" s="2">
        <v>2</v>
      </c>
      <c r="AC12" s="2">
        <v>0</v>
      </c>
      <c r="AD12" s="2">
        <v>1</v>
      </c>
      <c r="AE12" s="2">
        <v>5</v>
      </c>
      <c r="AF12" s="2">
        <v>4</v>
      </c>
      <c r="AG12" s="2">
        <v>4</v>
      </c>
      <c r="AH12" s="2"/>
      <c r="AI12" s="3" t="s">
        <v>35</v>
      </c>
    </row>
    <row r="13" spans="1:35" ht="15.75" hidden="1" customHeight="1" x14ac:dyDescent="0.35">
      <c r="A13" s="37" t="s">
        <v>312</v>
      </c>
      <c r="B13" s="37" t="s">
        <v>311</v>
      </c>
      <c r="C13" s="4">
        <v>45664.634830601848</v>
      </c>
      <c r="D13" s="5" t="s">
        <v>36</v>
      </c>
      <c r="E13" s="5" t="s">
        <v>17</v>
      </c>
      <c r="F13" s="5">
        <v>1</v>
      </c>
      <c r="G13" s="5">
        <v>3</v>
      </c>
      <c r="H13" s="5">
        <v>1</v>
      </c>
      <c r="I13" s="5">
        <v>1</v>
      </c>
      <c r="J13" s="5">
        <v>2</v>
      </c>
      <c r="K13" s="5">
        <v>2</v>
      </c>
      <c r="L13" s="5">
        <v>3</v>
      </c>
      <c r="M13" s="5" t="s">
        <v>37</v>
      </c>
      <c r="N13" s="5">
        <v>3</v>
      </c>
      <c r="O13" s="5">
        <v>2</v>
      </c>
      <c r="P13" s="5">
        <v>3</v>
      </c>
      <c r="Q13" s="5"/>
      <c r="R13" s="5">
        <v>3</v>
      </c>
      <c r="S13" s="5">
        <v>2</v>
      </c>
      <c r="T13" s="5">
        <v>2</v>
      </c>
      <c r="U13" s="5">
        <v>3</v>
      </c>
      <c r="V13" s="5">
        <v>2</v>
      </c>
      <c r="W13" s="5">
        <v>4</v>
      </c>
      <c r="X13" s="5">
        <v>2</v>
      </c>
      <c r="Y13" s="5">
        <v>3</v>
      </c>
      <c r="Z13" s="5"/>
      <c r="AA13" s="5">
        <v>3</v>
      </c>
      <c r="AB13" s="5">
        <v>3</v>
      </c>
      <c r="AC13" s="5">
        <v>2</v>
      </c>
      <c r="AD13" s="5">
        <v>4</v>
      </c>
      <c r="AE13" s="5">
        <v>4</v>
      </c>
      <c r="AF13" s="5">
        <v>4</v>
      </c>
      <c r="AG13" s="5">
        <v>5</v>
      </c>
      <c r="AH13" s="5">
        <v>7</v>
      </c>
      <c r="AI13" s="6" t="s">
        <v>38</v>
      </c>
    </row>
    <row r="14" spans="1:35" ht="15.75" hidden="1" customHeight="1" x14ac:dyDescent="0.35">
      <c r="A14" s="37" t="s">
        <v>312</v>
      </c>
      <c r="B14" s="37" t="s">
        <v>313</v>
      </c>
      <c r="C14" s="1">
        <v>45664.635011342594</v>
      </c>
      <c r="D14" s="2" t="s">
        <v>23</v>
      </c>
      <c r="E14" s="2" t="s">
        <v>20</v>
      </c>
      <c r="F14" s="2">
        <v>2</v>
      </c>
      <c r="G14" s="2">
        <v>4</v>
      </c>
      <c r="H14" s="2">
        <v>3</v>
      </c>
      <c r="I14" s="2">
        <v>2</v>
      </c>
      <c r="J14" s="2">
        <v>4</v>
      </c>
      <c r="K14" s="2">
        <v>3</v>
      </c>
      <c r="L14" s="2">
        <v>0</v>
      </c>
      <c r="M14" s="2"/>
      <c r="N14" s="2">
        <v>3</v>
      </c>
      <c r="O14" s="2">
        <v>4</v>
      </c>
      <c r="P14" s="2">
        <v>3</v>
      </c>
      <c r="Q14" s="2"/>
      <c r="R14" s="2">
        <v>4</v>
      </c>
      <c r="S14" s="2">
        <v>2</v>
      </c>
      <c r="T14" s="2">
        <v>1</v>
      </c>
      <c r="U14" s="2">
        <v>4</v>
      </c>
      <c r="V14" s="2">
        <v>3</v>
      </c>
      <c r="W14" s="2">
        <v>1</v>
      </c>
      <c r="X14" s="2">
        <v>3</v>
      </c>
      <c r="Y14" s="2">
        <v>2</v>
      </c>
      <c r="Z14" s="2"/>
      <c r="AA14" s="2">
        <v>5</v>
      </c>
      <c r="AB14" s="2">
        <v>2</v>
      </c>
      <c r="AC14" s="2">
        <v>3</v>
      </c>
      <c r="AD14" s="2">
        <v>0</v>
      </c>
      <c r="AE14" s="2">
        <v>2</v>
      </c>
      <c r="AF14" s="2">
        <v>4</v>
      </c>
      <c r="AG14" s="2">
        <v>3</v>
      </c>
      <c r="AH14" s="2">
        <v>6.8</v>
      </c>
      <c r="AI14" s="3"/>
    </row>
    <row r="15" spans="1:35" ht="15.75" hidden="1" customHeight="1" x14ac:dyDescent="0.35">
      <c r="A15" s="37" t="s">
        <v>312</v>
      </c>
      <c r="B15" s="37" t="s">
        <v>311</v>
      </c>
      <c r="C15" s="4">
        <v>45664.635164155094</v>
      </c>
      <c r="D15" s="5" t="s">
        <v>39</v>
      </c>
      <c r="E15" s="5" t="s">
        <v>20</v>
      </c>
      <c r="F15" s="5">
        <v>1</v>
      </c>
      <c r="G15" s="5">
        <v>2</v>
      </c>
      <c r="H15" s="5">
        <v>1</v>
      </c>
      <c r="I15" s="5">
        <v>2</v>
      </c>
      <c r="J15" s="5">
        <v>3</v>
      </c>
      <c r="K15" s="5">
        <v>1</v>
      </c>
      <c r="L15" s="5">
        <v>0</v>
      </c>
      <c r="M15" s="5" t="s">
        <v>40</v>
      </c>
      <c r="N15" s="5">
        <v>1</v>
      </c>
      <c r="O15" s="5">
        <v>3</v>
      </c>
      <c r="P15" s="5">
        <v>2</v>
      </c>
      <c r="Q15" s="5"/>
      <c r="R15" s="5">
        <v>2</v>
      </c>
      <c r="S15" s="5">
        <v>2</v>
      </c>
      <c r="T15" s="5">
        <v>2</v>
      </c>
      <c r="U15" s="5">
        <v>3</v>
      </c>
      <c r="V15" s="5">
        <v>2</v>
      </c>
      <c r="W15" s="5">
        <v>3</v>
      </c>
      <c r="X15" s="5">
        <v>3</v>
      </c>
      <c r="Y15" s="5">
        <v>2</v>
      </c>
      <c r="Z15" s="5" t="s">
        <v>41</v>
      </c>
      <c r="AA15" s="5">
        <v>3</v>
      </c>
      <c r="AB15" s="5">
        <v>2</v>
      </c>
      <c r="AC15" s="5">
        <v>2</v>
      </c>
      <c r="AD15" s="5">
        <v>2</v>
      </c>
      <c r="AE15" s="5">
        <v>1</v>
      </c>
      <c r="AF15" s="5">
        <v>3</v>
      </c>
      <c r="AG15" s="5">
        <v>2</v>
      </c>
      <c r="AH15" s="5"/>
      <c r="AI15" s="6"/>
    </row>
    <row r="16" spans="1:35" ht="15.75" hidden="1" customHeight="1" x14ac:dyDescent="0.35">
      <c r="A16" s="37" t="s">
        <v>312</v>
      </c>
      <c r="B16" s="37" t="s">
        <v>311</v>
      </c>
      <c r="C16" s="1">
        <v>45664.63536537037</v>
      </c>
      <c r="D16" s="2" t="s">
        <v>42</v>
      </c>
      <c r="E16" s="2" t="s">
        <v>20</v>
      </c>
      <c r="F16" s="2">
        <v>1</v>
      </c>
      <c r="G16" s="2">
        <v>4</v>
      </c>
      <c r="H16" s="2">
        <v>2</v>
      </c>
      <c r="I16" s="2">
        <v>0</v>
      </c>
      <c r="J16" s="2">
        <v>2</v>
      </c>
      <c r="K16" s="2">
        <v>1</v>
      </c>
      <c r="L16" s="2">
        <v>0</v>
      </c>
      <c r="M16" s="2"/>
      <c r="N16" s="2">
        <v>1</v>
      </c>
      <c r="O16" s="2">
        <v>1</v>
      </c>
      <c r="P16" s="2">
        <v>3</v>
      </c>
      <c r="Q16" s="2"/>
      <c r="R16" s="2">
        <v>2</v>
      </c>
      <c r="S16" s="2">
        <v>3</v>
      </c>
      <c r="T16" s="2">
        <v>2</v>
      </c>
      <c r="U16" s="2">
        <v>1</v>
      </c>
      <c r="V16" s="2">
        <v>2</v>
      </c>
      <c r="W16" s="2">
        <v>1</v>
      </c>
      <c r="X16" s="2">
        <v>1</v>
      </c>
      <c r="Y16" s="2">
        <v>2</v>
      </c>
      <c r="Z16" s="2" t="s">
        <v>43</v>
      </c>
      <c r="AA16" s="2">
        <v>3</v>
      </c>
      <c r="AB16" s="2">
        <v>3</v>
      </c>
      <c r="AC16" s="2">
        <v>1</v>
      </c>
      <c r="AD16" s="2">
        <v>2</v>
      </c>
      <c r="AE16" s="2">
        <v>5</v>
      </c>
      <c r="AF16" s="2">
        <v>4</v>
      </c>
      <c r="AG16" s="2">
        <v>2</v>
      </c>
      <c r="AH16" s="2"/>
      <c r="AI16" s="3"/>
    </row>
    <row r="17" spans="1:35" ht="15.75" hidden="1" customHeight="1" x14ac:dyDescent="0.35">
      <c r="A17" s="37" t="s">
        <v>312</v>
      </c>
      <c r="B17" s="37" t="s">
        <v>311</v>
      </c>
      <c r="C17" s="4">
        <v>45664.635388449075</v>
      </c>
      <c r="D17" s="5" t="s">
        <v>44</v>
      </c>
      <c r="E17" s="5" t="s">
        <v>20</v>
      </c>
      <c r="F17" s="5">
        <v>1</v>
      </c>
      <c r="G17" s="5">
        <v>2</v>
      </c>
      <c r="H17" s="5">
        <v>1</v>
      </c>
      <c r="I17" s="5">
        <v>1</v>
      </c>
      <c r="J17" s="5">
        <v>0</v>
      </c>
      <c r="K17" s="5">
        <v>1</v>
      </c>
      <c r="L17" s="5">
        <v>0</v>
      </c>
      <c r="M17" s="5"/>
      <c r="N17" s="5">
        <v>2</v>
      </c>
      <c r="O17" s="5">
        <v>1</v>
      </c>
      <c r="P17" s="5">
        <v>2</v>
      </c>
      <c r="Q17" s="5"/>
      <c r="R17" s="5">
        <v>3</v>
      </c>
      <c r="S17" s="5">
        <v>3</v>
      </c>
      <c r="T17" s="5">
        <v>2</v>
      </c>
      <c r="U17" s="5">
        <v>2</v>
      </c>
      <c r="V17" s="5">
        <v>2</v>
      </c>
      <c r="W17" s="5">
        <v>2</v>
      </c>
      <c r="X17" s="5">
        <v>2</v>
      </c>
      <c r="Y17" s="5">
        <v>1</v>
      </c>
      <c r="Z17" s="5"/>
      <c r="AA17" s="5">
        <v>3</v>
      </c>
      <c r="AB17" s="5">
        <v>0</v>
      </c>
      <c r="AC17" s="5">
        <v>1</v>
      </c>
      <c r="AD17" s="5">
        <v>0</v>
      </c>
      <c r="AE17" s="5">
        <v>2</v>
      </c>
      <c r="AF17" s="5">
        <v>2</v>
      </c>
      <c r="AG17" s="5">
        <v>3</v>
      </c>
      <c r="AH17" s="5"/>
      <c r="AI17" s="6"/>
    </row>
    <row r="18" spans="1:35" ht="15.75" hidden="1" customHeight="1" x14ac:dyDescent="0.35">
      <c r="A18" s="37" t="s">
        <v>312</v>
      </c>
      <c r="B18" s="37" t="s">
        <v>315</v>
      </c>
      <c r="C18" s="1">
        <v>45664.635776215277</v>
      </c>
      <c r="D18" s="2" t="s">
        <v>45</v>
      </c>
      <c r="E18" s="2" t="s">
        <v>17</v>
      </c>
      <c r="F18" s="2">
        <v>4</v>
      </c>
      <c r="G18" s="2">
        <v>3</v>
      </c>
      <c r="H18" s="2">
        <v>0</v>
      </c>
      <c r="I18" s="2">
        <v>1</v>
      </c>
      <c r="J18" s="2">
        <v>2</v>
      </c>
      <c r="K18" s="2">
        <v>0</v>
      </c>
      <c r="L18" s="2">
        <v>3</v>
      </c>
      <c r="M18" s="2" t="s">
        <v>46</v>
      </c>
      <c r="N18" s="2">
        <v>3</v>
      </c>
      <c r="O18" s="2">
        <v>2</v>
      </c>
      <c r="P18" s="2">
        <v>1</v>
      </c>
      <c r="Q18" s="2" t="s">
        <v>47</v>
      </c>
      <c r="R18" s="2">
        <v>2</v>
      </c>
      <c r="S18" s="2">
        <v>1</v>
      </c>
      <c r="T18" s="2">
        <v>2</v>
      </c>
      <c r="U18" s="2">
        <v>3</v>
      </c>
      <c r="V18" s="2">
        <v>1</v>
      </c>
      <c r="W18" s="2">
        <v>3</v>
      </c>
      <c r="X18" s="2">
        <v>2</v>
      </c>
      <c r="Y18" s="2">
        <v>2</v>
      </c>
      <c r="Z18" s="2" t="s">
        <v>46</v>
      </c>
      <c r="AA18" s="2">
        <v>3</v>
      </c>
      <c r="AB18" s="2">
        <v>3</v>
      </c>
      <c r="AC18" s="2">
        <v>2</v>
      </c>
      <c r="AD18" s="2">
        <v>2</v>
      </c>
      <c r="AE18" s="2">
        <v>3</v>
      </c>
      <c r="AF18" s="2">
        <v>3</v>
      </c>
      <c r="AG18" s="2">
        <v>3</v>
      </c>
      <c r="AH18" s="2" t="s">
        <v>48</v>
      </c>
      <c r="AI18" s="3"/>
    </row>
    <row r="19" spans="1:35" ht="15.75" hidden="1" customHeight="1" x14ac:dyDescent="0.35">
      <c r="A19" s="37" t="s">
        <v>312</v>
      </c>
      <c r="B19" s="37" t="s">
        <v>311</v>
      </c>
      <c r="C19" s="4">
        <v>45664.635988483795</v>
      </c>
      <c r="D19" s="5" t="s">
        <v>49</v>
      </c>
      <c r="E19" s="5" t="s">
        <v>17</v>
      </c>
      <c r="F19" s="5">
        <v>1</v>
      </c>
      <c r="G19" s="5">
        <v>1</v>
      </c>
      <c r="H19" s="5">
        <v>0</v>
      </c>
      <c r="I19" s="5">
        <v>0</v>
      </c>
      <c r="J19" s="5">
        <v>0</v>
      </c>
      <c r="K19" s="5">
        <v>0</v>
      </c>
      <c r="L19" s="5">
        <v>0</v>
      </c>
      <c r="M19" s="5" t="s">
        <v>50</v>
      </c>
      <c r="N19" s="5">
        <v>1</v>
      </c>
      <c r="O19" s="5">
        <v>1</v>
      </c>
      <c r="P19" s="5">
        <v>2</v>
      </c>
      <c r="Q19" s="5" t="s">
        <v>51</v>
      </c>
      <c r="R19" s="5">
        <v>1</v>
      </c>
      <c r="S19" s="5">
        <v>1</v>
      </c>
      <c r="T19" s="5">
        <v>1</v>
      </c>
      <c r="U19" s="5">
        <v>1</v>
      </c>
      <c r="V19" s="5">
        <v>1</v>
      </c>
      <c r="W19" s="5">
        <v>1</v>
      </c>
      <c r="X19" s="5">
        <v>1</v>
      </c>
      <c r="Y19" s="5">
        <v>1</v>
      </c>
      <c r="Z19" s="5" t="s">
        <v>51</v>
      </c>
      <c r="AA19" s="5">
        <v>1</v>
      </c>
      <c r="AB19" s="5">
        <v>1</v>
      </c>
      <c r="AC19" s="5">
        <v>0</v>
      </c>
      <c r="AD19" s="5">
        <v>1</v>
      </c>
      <c r="AE19" s="5">
        <v>1</v>
      </c>
      <c r="AF19" s="5">
        <v>1</v>
      </c>
      <c r="AG19" s="5">
        <v>1</v>
      </c>
      <c r="AH19" s="5"/>
      <c r="AI19" s="6"/>
    </row>
    <row r="20" spans="1:35" ht="15.75" hidden="1" customHeight="1" x14ac:dyDescent="0.35">
      <c r="A20" s="37" t="s">
        <v>312</v>
      </c>
      <c r="B20" s="37" t="s">
        <v>311</v>
      </c>
      <c r="C20" s="1">
        <v>45664.63603494213</v>
      </c>
      <c r="D20" s="2" t="s">
        <v>52</v>
      </c>
      <c r="E20" s="2" t="s">
        <v>20</v>
      </c>
      <c r="F20" s="2">
        <v>1</v>
      </c>
      <c r="G20" s="2">
        <v>3</v>
      </c>
      <c r="H20" s="2">
        <v>0</v>
      </c>
      <c r="I20" s="2">
        <v>1</v>
      </c>
      <c r="J20" s="2">
        <v>2</v>
      </c>
      <c r="K20" s="2">
        <v>0</v>
      </c>
      <c r="L20" s="2">
        <v>0</v>
      </c>
      <c r="M20" s="2" t="s">
        <v>53</v>
      </c>
      <c r="N20" s="2">
        <v>1</v>
      </c>
      <c r="O20" s="2">
        <v>1</v>
      </c>
      <c r="P20" s="2">
        <v>3</v>
      </c>
      <c r="Q20" s="2"/>
      <c r="R20" s="2">
        <v>2</v>
      </c>
      <c r="S20" s="2">
        <v>1</v>
      </c>
      <c r="T20" s="2">
        <v>2</v>
      </c>
      <c r="U20" s="2">
        <v>1</v>
      </c>
      <c r="V20" s="2">
        <v>1</v>
      </c>
      <c r="W20" s="2">
        <v>1</v>
      </c>
      <c r="X20" s="2">
        <v>2</v>
      </c>
      <c r="Y20" s="2">
        <v>2</v>
      </c>
      <c r="Z20" s="2"/>
      <c r="AA20" s="2">
        <v>2</v>
      </c>
      <c r="AB20" s="2">
        <v>2</v>
      </c>
      <c r="AC20" s="2">
        <v>1</v>
      </c>
      <c r="AD20" s="2">
        <v>0</v>
      </c>
      <c r="AE20" s="2">
        <v>3</v>
      </c>
      <c r="AF20" s="2">
        <v>3</v>
      </c>
      <c r="AG20" s="2">
        <v>3</v>
      </c>
      <c r="AH20" s="2" t="s">
        <v>54</v>
      </c>
      <c r="AI20" s="3"/>
    </row>
    <row r="21" spans="1:35" ht="15.75" hidden="1" customHeight="1" x14ac:dyDescent="0.35">
      <c r="A21" s="37" t="s">
        <v>312</v>
      </c>
      <c r="B21" s="37" t="s">
        <v>311</v>
      </c>
      <c r="C21" s="4">
        <v>45664.6362190625</v>
      </c>
      <c r="D21" s="5" t="s">
        <v>55</v>
      </c>
      <c r="E21" s="5" t="s">
        <v>17</v>
      </c>
      <c r="F21" s="5">
        <v>1</v>
      </c>
      <c r="G21" s="5">
        <v>3</v>
      </c>
      <c r="H21" s="5" t="s">
        <v>56</v>
      </c>
      <c r="I21" s="5" t="s">
        <v>57</v>
      </c>
      <c r="J21" s="5">
        <v>0</v>
      </c>
      <c r="K21" s="5">
        <v>0</v>
      </c>
      <c r="L21" s="5">
        <v>2</v>
      </c>
      <c r="M21" s="5" t="s">
        <v>58</v>
      </c>
      <c r="N21" s="5">
        <v>2</v>
      </c>
      <c r="O21" s="5">
        <v>1</v>
      </c>
      <c r="P21" s="5">
        <v>2</v>
      </c>
      <c r="Q21" s="5"/>
      <c r="R21" s="5">
        <v>1</v>
      </c>
      <c r="S21" s="5">
        <v>1</v>
      </c>
      <c r="T21" s="5" t="s">
        <v>59</v>
      </c>
      <c r="U21" s="5">
        <v>1</v>
      </c>
      <c r="V21" s="5">
        <v>1</v>
      </c>
      <c r="W21" s="5">
        <v>1</v>
      </c>
      <c r="X21" s="5">
        <v>1</v>
      </c>
      <c r="Y21" s="5">
        <v>1</v>
      </c>
      <c r="Z21" s="5"/>
      <c r="AA21" s="5">
        <v>4</v>
      </c>
      <c r="AB21" s="5">
        <v>1</v>
      </c>
      <c r="AC21" s="5">
        <v>0</v>
      </c>
      <c r="AD21" s="5">
        <v>1</v>
      </c>
      <c r="AE21" s="5">
        <v>5</v>
      </c>
      <c r="AF21" s="5">
        <v>2</v>
      </c>
      <c r="AG21" s="5">
        <v>3</v>
      </c>
      <c r="AH21" s="5" t="s">
        <v>60</v>
      </c>
      <c r="AI21" s="6"/>
    </row>
    <row r="22" spans="1:35" ht="15.75" hidden="1" customHeight="1" x14ac:dyDescent="0.35">
      <c r="A22" s="37" t="s">
        <v>312</v>
      </c>
      <c r="B22" s="37" t="s">
        <v>313</v>
      </c>
      <c r="C22" s="1">
        <v>45664.63673056713</v>
      </c>
      <c r="D22" s="2" t="s">
        <v>24</v>
      </c>
      <c r="E22" s="2" t="s">
        <v>20</v>
      </c>
      <c r="F22" s="2">
        <v>2</v>
      </c>
      <c r="G22" s="2">
        <v>3</v>
      </c>
      <c r="H22" s="2">
        <v>1</v>
      </c>
      <c r="I22" s="2">
        <v>3</v>
      </c>
      <c r="J22" s="2">
        <v>2</v>
      </c>
      <c r="K22" s="2">
        <v>1</v>
      </c>
      <c r="L22" s="2">
        <v>1</v>
      </c>
      <c r="M22" s="2" t="s">
        <v>61</v>
      </c>
      <c r="N22" s="2">
        <v>3</v>
      </c>
      <c r="O22" s="2">
        <v>1</v>
      </c>
      <c r="P22" s="2">
        <v>1</v>
      </c>
      <c r="Q22" s="2"/>
      <c r="R22" s="2">
        <v>2</v>
      </c>
      <c r="S22" s="2">
        <v>4</v>
      </c>
      <c r="T22" s="2">
        <v>1</v>
      </c>
      <c r="U22" s="2">
        <v>2</v>
      </c>
      <c r="V22" s="2">
        <v>2</v>
      </c>
      <c r="W22" s="2">
        <v>3</v>
      </c>
      <c r="X22" s="2">
        <v>2</v>
      </c>
      <c r="Y22" s="2">
        <v>1</v>
      </c>
      <c r="Z22" s="2"/>
      <c r="AA22" s="2">
        <v>4</v>
      </c>
      <c r="AB22" s="2">
        <v>2</v>
      </c>
      <c r="AC22" s="2">
        <v>2</v>
      </c>
      <c r="AD22" s="2">
        <v>2</v>
      </c>
      <c r="AE22" s="2">
        <v>4</v>
      </c>
      <c r="AF22" s="2">
        <v>2</v>
      </c>
      <c r="AG22" s="2">
        <v>3</v>
      </c>
      <c r="AH22" s="2" t="s">
        <v>62</v>
      </c>
      <c r="AI22" s="3"/>
    </row>
    <row r="23" spans="1:35" ht="15.75" hidden="1" customHeight="1" x14ac:dyDescent="0.35">
      <c r="A23" s="37" t="s">
        <v>312</v>
      </c>
      <c r="B23" s="37" t="s">
        <v>314</v>
      </c>
      <c r="C23" s="4">
        <v>45664.636892627314</v>
      </c>
      <c r="D23" s="5" t="s">
        <v>23</v>
      </c>
      <c r="E23" s="5" t="s">
        <v>20</v>
      </c>
      <c r="F23" s="5">
        <v>3</v>
      </c>
      <c r="G23" s="5">
        <v>4</v>
      </c>
      <c r="H23" s="5">
        <v>2</v>
      </c>
      <c r="I23" s="5">
        <v>0</v>
      </c>
      <c r="J23" s="5">
        <v>4</v>
      </c>
      <c r="K23" s="5">
        <v>0</v>
      </c>
      <c r="L23" s="5">
        <v>0</v>
      </c>
      <c r="M23" s="5"/>
      <c r="N23" s="5">
        <v>3</v>
      </c>
      <c r="O23" s="5">
        <v>4</v>
      </c>
      <c r="P23" s="5">
        <v>4</v>
      </c>
      <c r="Q23" s="5"/>
      <c r="R23" s="5">
        <v>4</v>
      </c>
      <c r="S23" s="5">
        <v>3</v>
      </c>
      <c r="T23" s="5">
        <v>1</v>
      </c>
      <c r="U23" s="5">
        <v>4</v>
      </c>
      <c r="V23" s="5">
        <v>3</v>
      </c>
      <c r="W23" s="5">
        <v>3</v>
      </c>
      <c r="X23" s="5">
        <v>2</v>
      </c>
      <c r="Y23" s="5">
        <v>4</v>
      </c>
      <c r="Z23" s="5"/>
      <c r="AA23" s="5">
        <v>3</v>
      </c>
      <c r="AB23" s="5">
        <v>4</v>
      </c>
      <c r="AC23" s="5">
        <v>4</v>
      </c>
      <c r="AD23" s="5">
        <v>3</v>
      </c>
      <c r="AE23" s="5">
        <v>4</v>
      </c>
      <c r="AF23" s="5">
        <v>4</v>
      </c>
      <c r="AG23" s="5">
        <v>4</v>
      </c>
      <c r="AH23" s="5">
        <v>6.9</v>
      </c>
      <c r="AI23" s="6"/>
    </row>
    <row r="24" spans="1:35" ht="15.75" hidden="1" customHeight="1" x14ac:dyDescent="0.35">
      <c r="A24" s="37" t="s">
        <v>312</v>
      </c>
      <c r="B24" s="37" t="s">
        <v>311</v>
      </c>
      <c r="C24" s="1">
        <v>45664.636897511577</v>
      </c>
      <c r="D24" s="2" t="s">
        <v>63</v>
      </c>
      <c r="E24" s="2" t="s">
        <v>20</v>
      </c>
      <c r="F24" s="2">
        <v>1</v>
      </c>
      <c r="G24" s="2">
        <v>2</v>
      </c>
      <c r="H24" s="2">
        <v>3</v>
      </c>
      <c r="I24" s="2">
        <v>1</v>
      </c>
      <c r="J24" s="2">
        <v>3</v>
      </c>
      <c r="K24" s="2">
        <v>3</v>
      </c>
      <c r="L24" s="2">
        <v>3</v>
      </c>
      <c r="M24" s="2" t="s">
        <v>64</v>
      </c>
      <c r="N24" s="2">
        <v>4</v>
      </c>
      <c r="O24" s="2">
        <v>3</v>
      </c>
      <c r="P24" s="2">
        <v>1</v>
      </c>
      <c r="Q24" s="2"/>
      <c r="R24" s="2">
        <v>2</v>
      </c>
      <c r="S24" s="2">
        <v>1</v>
      </c>
      <c r="T24" s="2">
        <v>3</v>
      </c>
      <c r="U24" s="2">
        <v>4</v>
      </c>
      <c r="V24" s="2">
        <v>2</v>
      </c>
      <c r="W24" s="2">
        <v>4</v>
      </c>
      <c r="X24" s="2">
        <v>2</v>
      </c>
      <c r="Y24" s="2">
        <v>1</v>
      </c>
      <c r="Z24" s="2"/>
      <c r="AA24" s="2">
        <v>2</v>
      </c>
      <c r="AB24" s="2">
        <v>5</v>
      </c>
      <c r="AC24" s="2">
        <v>3</v>
      </c>
      <c r="AD24" s="2">
        <v>4</v>
      </c>
      <c r="AE24" s="2">
        <v>4</v>
      </c>
      <c r="AF24" s="2">
        <v>3</v>
      </c>
      <c r="AG24" s="2">
        <v>4</v>
      </c>
      <c r="AH24" s="2" t="s">
        <v>65</v>
      </c>
      <c r="AI24" s="3"/>
    </row>
    <row r="25" spans="1:35" ht="15.75" hidden="1" customHeight="1" x14ac:dyDescent="0.35">
      <c r="A25" s="37" t="s">
        <v>312</v>
      </c>
      <c r="B25" s="37" t="s">
        <v>314</v>
      </c>
      <c r="C25" s="4">
        <v>45664.636976863425</v>
      </c>
      <c r="D25" s="5" t="s">
        <v>16</v>
      </c>
      <c r="E25" s="5" t="s">
        <v>17</v>
      </c>
      <c r="F25" s="5">
        <v>3</v>
      </c>
      <c r="G25" s="5">
        <v>1</v>
      </c>
      <c r="H25" s="5">
        <v>0</v>
      </c>
      <c r="I25" s="5">
        <v>0</v>
      </c>
      <c r="J25" s="5">
        <v>0</v>
      </c>
      <c r="K25" s="5">
        <v>0</v>
      </c>
      <c r="L25" s="5">
        <v>0</v>
      </c>
      <c r="M25" s="5" t="s">
        <v>66</v>
      </c>
      <c r="N25" s="5">
        <v>1</v>
      </c>
      <c r="O25" s="5">
        <v>1</v>
      </c>
      <c r="P25" s="5">
        <v>1</v>
      </c>
      <c r="Q25" s="5" t="s">
        <v>67</v>
      </c>
      <c r="R25" s="5">
        <v>1</v>
      </c>
      <c r="S25" s="5">
        <v>1</v>
      </c>
      <c r="T25" s="5">
        <v>1</v>
      </c>
      <c r="U25" s="5">
        <v>1</v>
      </c>
      <c r="V25" s="5">
        <v>1</v>
      </c>
      <c r="W25" s="5">
        <v>1</v>
      </c>
      <c r="X25" s="5">
        <v>1</v>
      </c>
      <c r="Y25" s="5">
        <v>1</v>
      </c>
      <c r="Z25" s="5"/>
      <c r="AA25" s="5">
        <v>1</v>
      </c>
      <c r="AB25" s="5">
        <v>0</v>
      </c>
      <c r="AC25" s="5">
        <v>0</v>
      </c>
      <c r="AD25" s="5">
        <v>0</v>
      </c>
      <c r="AE25" s="5">
        <v>1</v>
      </c>
      <c r="AF25" s="5">
        <v>1</v>
      </c>
      <c r="AG25" s="5">
        <v>1</v>
      </c>
      <c r="AH25" s="5" t="s">
        <v>68</v>
      </c>
      <c r="AI25" s="6"/>
    </row>
    <row r="26" spans="1:35" ht="15.75" hidden="1" customHeight="1" x14ac:dyDescent="0.35">
      <c r="A26" s="37" t="s">
        <v>312</v>
      </c>
      <c r="B26" s="37" t="s">
        <v>314</v>
      </c>
      <c r="C26" s="1">
        <v>45664.637072905098</v>
      </c>
      <c r="D26" s="2" t="s">
        <v>30</v>
      </c>
      <c r="E26" s="2" t="s">
        <v>20</v>
      </c>
      <c r="F26" s="2">
        <v>3</v>
      </c>
      <c r="G26" s="2">
        <v>4</v>
      </c>
      <c r="H26" s="2" t="s">
        <v>69</v>
      </c>
      <c r="I26" s="2">
        <v>2</v>
      </c>
      <c r="J26" s="2">
        <v>4</v>
      </c>
      <c r="K26" s="2">
        <v>2</v>
      </c>
      <c r="L26" s="2">
        <v>0</v>
      </c>
      <c r="M26" s="2"/>
      <c r="N26" s="2">
        <v>5</v>
      </c>
      <c r="O26" s="2">
        <v>3</v>
      </c>
      <c r="P26" s="2">
        <v>3</v>
      </c>
      <c r="Q26" s="2" t="s">
        <v>70</v>
      </c>
      <c r="R26" s="2">
        <v>3</v>
      </c>
      <c r="S26" s="2">
        <v>5</v>
      </c>
      <c r="T26" s="2">
        <v>3</v>
      </c>
      <c r="U26" s="2">
        <v>4</v>
      </c>
      <c r="V26" s="2">
        <v>1</v>
      </c>
      <c r="W26" s="2">
        <v>4</v>
      </c>
      <c r="X26" s="2">
        <v>3</v>
      </c>
      <c r="Y26" s="2">
        <v>2</v>
      </c>
      <c r="Z26" s="2"/>
      <c r="AA26" s="2">
        <v>5</v>
      </c>
      <c r="AB26" s="2">
        <v>3</v>
      </c>
      <c r="AC26" s="2">
        <v>2</v>
      </c>
      <c r="AD26" s="2">
        <v>3</v>
      </c>
      <c r="AE26" s="2">
        <v>5</v>
      </c>
      <c r="AF26" s="2">
        <v>5</v>
      </c>
      <c r="AG26" s="2">
        <v>4</v>
      </c>
      <c r="AH26" s="2"/>
      <c r="AI26" s="3"/>
    </row>
    <row r="27" spans="1:35" ht="15.75" hidden="1" customHeight="1" x14ac:dyDescent="0.35">
      <c r="A27" s="37" t="s">
        <v>312</v>
      </c>
      <c r="B27" s="37" t="s">
        <v>311</v>
      </c>
      <c r="C27" s="4">
        <v>45664.637371805555</v>
      </c>
      <c r="D27" s="5" t="s">
        <v>71</v>
      </c>
      <c r="E27" s="5" t="s">
        <v>20</v>
      </c>
      <c r="F27" s="5">
        <v>1</v>
      </c>
      <c r="G27" s="5">
        <v>2</v>
      </c>
      <c r="H27" s="5">
        <v>0</v>
      </c>
      <c r="I27" s="5">
        <v>1</v>
      </c>
      <c r="J27" s="5">
        <v>2</v>
      </c>
      <c r="K27" s="5">
        <v>1</v>
      </c>
      <c r="L27" s="5">
        <v>0</v>
      </c>
      <c r="M27" s="5" t="s">
        <v>72</v>
      </c>
      <c r="N27" s="5">
        <v>2</v>
      </c>
      <c r="O27" s="5">
        <v>3</v>
      </c>
      <c r="P27" s="5">
        <v>4</v>
      </c>
      <c r="Q27" s="5"/>
      <c r="R27" s="5">
        <v>3</v>
      </c>
      <c r="S27" s="5">
        <v>4</v>
      </c>
      <c r="T27" s="5">
        <v>3</v>
      </c>
      <c r="U27" s="5">
        <v>3</v>
      </c>
      <c r="V27" s="5">
        <v>2</v>
      </c>
      <c r="W27" s="5">
        <v>3</v>
      </c>
      <c r="X27" s="5">
        <v>2</v>
      </c>
      <c r="Y27" s="5">
        <v>4</v>
      </c>
      <c r="Z27" s="5"/>
      <c r="AA27" s="5">
        <v>3</v>
      </c>
      <c r="AB27" s="5">
        <v>4</v>
      </c>
      <c r="AC27" s="5">
        <v>3</v>
      </c>
      <c r="AD27" s="5">
        <v>3</v>
      </c>
      <c r="AE27" s="5">
        <v>3</v>
      </c>
      <c r="AF27" s="5">
        <v>2</v>
      </c>
      <c r="AG27" s="5">
        <v>3</v>
      </c>
      <c r="AH27" s="5" t="s">
        <v>73</v>
      </c>
      <c r="AI27" s="6"/>
    </row>
    <row r="28" spans="1:35" ht="15.75" hidden="1" customHeight="1" x14ac:dyDescent="0.35">
      <c r="A28" s="37" t="s">
        <v>312</v>
      </c>
      <c r="B28" s="37" t="s">
        <v>313</v>
      </c>
      <c r="C28" s="1">
        <v>45664.637400821761</v>
      </c>
      <c r="D28" s="2" t="s">
        <v>74</v>
      </c>
      <c r="E28" s="2" t="s">
        <v>20</v>
      </c>
      <c r="F28" s="2">
        <v>2</v>
      </c>
      <c r="G28" s="2" t="s">
        <v>59</v>
      </c>
      <c r="H28" s="2">
        <v>2</v>
      </c>
      <c r="I28" s="2">
        <v>0</v>
      </c>
      <c r="J28" s="2">
        <v>2</v>
      </c>
      <c r="K28" s="2">
        <v>0</v>
      </c>
      <c r="L28" s="2">
        <v>0</v>
      </c>
      <c r="M28" s="2"/>
      <c r="N28" s="2">
        <v>2</v>
      </c>
      <c r="O28" s="2">
        <v>1</v>
      </c>
      <c r="P28" s="2">
        <v>1</v>
      </c>
      <c r="Q28" s="2"/>
      <c r="R28" s="2">
        <v>2</v>
      </c>
      <c r="S28" s="2">
        <v>3</v>
      </c>
      <c r="T28" s="2">
        <v>1</v>
      </c>
      <c r="U28" s="2">
        <v>2</v>
      </c>
      <c r="V28" s="2">
        <v>1</v>
      </c>
      <c r="W28" s="2">
        <v>2</v>
      </c>
      <c r="X28" s="2">
        <v>1</v>
      </c>
      <c r="Y28" s="2">
        <v>1</v>
      </c>
      <c r="Z28" s="2"/>
      <c r="AA28" s="2">
        <v>2</v>
      </c>
      <c r="AB28" s="2">
        <v>3</v>
      </c>
      <c r="AC28" s="2">
        <v>1</v>
      </c>
      <c r="AD28" s="2">
        <v>1</v>
      </c>
      <c r="AE28" s="2">
        <v>4</v>
      </c>
      <c r="AF28" s="2">
        <v>3</v>
      </c>
      <c r="AG28" s="2">
        <v>4</v>
      </c>
      <c r="AH28" s="2"/>
      <c r="AI28" s="3"/>
    </row>
    <row r="29" spans="1:35" ht="15.75" hidden="1" customHeight="1" x14ac:dyDescent="0.35">
      <c r="A29" s="37" t="s">
        <v>312</v>
      </c>
      <c r="B29" s="37" t="s">
        <v>313</v>
      </c>
      <c r="C29" s="4">
        <v>45664.637451504634</v>
      </c>
      <c r="D29" s="5" t="s">
        <v>75</v>
      </c>
      <c r="E29" s="5" t="s">
        <v>17</v>
      </c>
      <c r="F29" s="5">
        <v>2</v>
      </c>
      <c r="G29" s="5">
        <v>1</v>
      </c>
      <c r="H29" s="5">
        <v>0</v>
      </c>
      <c r="I29" s="5">
        <v>0</v>
      </c>
      <c r="J29" s="5">
        <v>1</v>
      </c>
      <c r="K29" s="5">
        <v>0</v>
      </c>
      <c r="L29" s="5">
        <v>0</v>
      </c>
      <c r="M29" s="5"/>
      <c r="N29" s="5">
        <v>2</v>
      </c>
      <c r="O29" s="5">
        <v>1</v>
      </c>
      <c r="P29" s="5">
        <v>2</v>
      </c>
      <c r="Q29" s="5"/>
      <c r="R29" s="5">
        <v>2</v>
      </c>
      <c r="S29" s="5">
        <v>1</v>
      </c>
      <c r="T29" s="5">
        <v>1</v>
      </c>
      <c r="U29" s="5">
        <v>3</v>
      </c>
      <c r="V29" s="5">
        <v>2</v>
      </c>
      <c r="W29" s="5">
        <v>3</v>
      </c>
      <c r="X29" s="5">
        <v>2</v>
      </c>
      <c r="Y29" s="5">
        <v>3</v>
      </c>
      <c r="Z29" s="5"/>
      <c r="AA29" s="5">
        <v>3</v>
      </c>
      <c r="AB29" s="5">
        <v>2</v>
      </c>
      <c r="AC29" s="5">
        <v>3</v>
      </c>
      <c r="AD29" s="5">
        <v>2</v>
      </c>
      <c r="AE29" s="5">
        <v>3</v>
      </c>
      <c r="AF29" s="5">
        <v>3</v>
      </c>
      <c r="AG29" s="5">
        <v>3</v>
      </c>
      <c r="AH29" s="5"/>
      <c r="AI29" s="6"/>
    </row>
    <row r="30" spans="1:35" ht="15.75" hidden="1" customHeight="1" x14ac:dyDescent="0.35">
      <c r="A30" s="37" t="s">
        <v>312</v>
      </c>
      <c r="B30" s="37" t="s">
        <v>311</v>
      </c>
      <c r="C30" s="1">
        <v>45664.637474965275</v>
      </c>
      <c r="D30" s="2" t="s">
        <v>76</v>
      </c>
      <c r="E30" s="2" t="s">
        <v>77</v>
      </c>
      <c r="F30" s="2">
        <v>1</v>
      </c>
      <c r="G30" s="2">
        <v>1</v>
      </c>
      <c r="H30" s="2">
        <v>1</v>
      </c>
      <c r="I30" s="2">
        <v>0</v>
      </c>
      <c r="J30" s="2">
        <v>1</v>
      </c>
      <c r="K30" s="2">
        <v>1</v>
      </c>
      <c r="L30" s="2">
        <v>0</v>
      </c>
      <c r="M30" s="2"/>
      <c r="N30" s="2">
        <v>1</v>
      </c>
      <c r="O30" s="2">
        <v>2</v>
      </c>
      <c r="P30" s="2">
        <v>2</v>
      </c>
      <c r="Q30" s="2"/>
      <c r="R30" s="2">
        <v>1</v>
      </c>
      <c r="S30" s="2">
        <v>1</v>
      </c>
      <c r="T30" s="2">
        <v>1</v>
      </c>
      <c r="U30" s="2">
        <v>2</v>
      </c>
      <c r="V30" s="2">
        <v>1</v>
      </c>
      <c r="W30" s="2">
        <v>1</v>
      </c>
      <c r="X30" s="2">
        <v>1</v>
      </c>
      <c r="Y30" s="2">
        <v>1</v>
      </c>
      <c r="Z30" s="2" t="s">
        <v>78</v>
      </c>
      <c r="AA30" s="2">
        <v>3</v>
      </c>
      <c r="AB30" s="2">
        <v>2</v>
      </c>
      <c r="AC30" s="2">
        <v>1</v>
      </c>
      <c r="AD30" s="2">
        <v>2</v>
      </c>
      <c r="AE30" s="2">
        <v>3</v>
      </c>
      <c r="AF30" s="2">
        <v>4</v>
      </c>
      <c r="AG30" s="2">
        <v>4</v>
      </c>
      <c r="AH30" s="2" t="s">
        <v>79</v>
      </c>
      <c r="AI30" s="3"/>
    </row>
    <row r="31" spans="1:35" ht="15.75" hidden="1" customHeight="1" x14ac:dyDescent="0.35">
      <c r="A31" s="37" t="s">
        <v>312</v>
      </c>
      <c r="B31" s="37" t="s">
        <v>314</v>
      </c>
      <c r="C31" s="4">
        <v>45664.637637233798</v>
      </c>
      <c r="D31" s="5" t="s">
        <v>80</v>
      </c>
      <c r="E31" s="5" t="s">
        <v>17</v>
      </c>
      <c r="F31" s="5">
        <v>3</v>
      </c>
      <c r="G31" s="5">
        <v>2</v>
      </c>
      <c r="H31" s="5">
        <v>3</v>
      </c>
      <c r="I31" s="5">
        <v>0</v>
      </c>
      <c r="J31" s="5">
        <v>1</v>
      </c>
      <c r="K31" s="5">
        <v>0</v>
      </c>
      <c r="L31" s="5">
        <v>0</v>
      </c>
      <c r="M31" s="5"/>
      <c r="N31" s="5">
        <v>3</v>
      </c>
      <c r="O31" s="5">
        <v>2</v>
      </c>
      <c r="P31" s="5">
        <v>1</v>
      </c>
      <c r="Q31" s="5"/>
      <c r="R31" s="5">
        <v>5</v>
      </c>
      <c r="S31" s="5">
        <v>4</v>
      </c>
      <c r="T31" s="5">
        <v>1</v>
      </c>
      <c r="U31" s="5">
        <v>1</v>
      </c>
      <c r="V31" s="5">
        <v>1</v>
      </c>
      <c r="W31" s="5">
        <v>1</v>
      </c>
      <c r="X31" s="5">
        <v>1</v>
      </c>
      <c r="Y31" s="5">
        <v>3</v>
      </c>
      <c r="Z31" s="5"/>
      <c r="AA31" s="5">
        <v>2</v>
      </c>
      <c r="AB31" s="5">
        <v>1</v>
      </c>
      <c r="AC31" s="5">
        <v>2</v>
      </c>
      <c r="AD31" s="5">
        <v>1</v>
      </c>
      <c r="AE31" s="5">
        <v>4</v>
      </c>
      <c r="AF31" s="5">
        <v>2</v>
      </c>
      <c r="AG31" s="5">
        <v>3</v>
      </c>
      <c r="AH31" s="5"/>
      <c r="AI31" s="6"/>
    </row>
    <row r="32" spans="1:35" ht="15.75" hidden="1" customHeight="1" x14ac:dyDescent="0.35">
      <c r="A32" s="37" t="s">
        <v>312</v>
      </c>
      <c r="B32" s="37" t="s">
        <v>311</v>
      </c>
      <c r="C32" s="1">
        <v>45664.637857245369</v>
      </c>
      <c r="D32" s="2" t="s">
        <v>81</v>
      </c>
      <c r="E32" s="2" t="s">
        <v>20</v>
      </c>
      <c r="F32" s="2">
        <v>1</v>
      </c>
      <c r="G32" s="2">
        <v>3</v>
      </c>
      <c r="H32" s="2">
        <v>1</v>
      </c>
      <c r="I32" s="2">
        <v>0</v>
      </c>
      <c r="J32" s="2">
        <v>0</v>
      </c>
      <c r="K32" s="2">
        <v>0</v>
      </c>
      <c r="L32" s="2">
        <v>0</v>
      </c>
      <c r="M32" s="2"/>
      <c r="N32" s="2">
        <v>1</v>
      </c>
      <c r="O32" s="2">
        <v>2</v>
      </c>
      <c r="P32" s="2">
        <v>1</v>
      </c>
      <c r="Q32" s="2"/>
      <c r="R32" s="2">
        <v>3</v>
      </c>
      <c r="S32" s="2">
        <v>2</v>
      </c>
      <c r="T32" s="2">
        <v>1</v>
      </c>
      <c r="U32" s="2">
        <v>1</v>
      </c>
      <c r="V32" s="2">
        <v>1</v>
      </c>
      <c r="W32" s="2">
        <v>1</v>
      </c>
      <c r="X32" s="2">
        <v>2</v>
      </c>
      <c r="Y32" s="2">
        <v>1</v>
      </c>
      <c r="Z32" s="2"/>
      <c r="AA32" s="2">
        <v>2</v>
      </c>
      <c r="AB32" s="2">
        <v>2</v>
      </c>
      <c r="AC32" s="2">
        <v>1</v>
      </c>
      <c r="AD32" s="2">
        <v>1</v>
      </c>
      <c r="AE32" s="2">
        <v>3</v>
      </c>
      <c r="AF32" s="2">
        <v>2</v>
      </c>
      <c r="AG32" s="2">
        <v>3</v>
      </c>
      <c r="AH32" s="2"/>
      <c r="AI32" s="3"/>
    </row>
    <row r="33" spans="1:35" ht="15.75" hidden="1" customHeight="1" x14ac:dyDescent="0.35">
      <c r="A33" s="37" t="s">
        <v>312</v>
      </c>
      <c r="B33" s="37" t="s">
        <v>313</v>
      </c>
      <c r="C33" s="4">
        <v>45664.638215254628</v>
      </c>
      <c r="D33" s="5" t="s">
        <v>44</v>
      </c>
      <c r="E33" s="5" t="s">
        <v>20</v>
      </c>
      <c r="F33" s="5">
        <v>2</v>
      </c>
      <c r="G33" s="5">
        <v>2</v>
      </c>
      <c r="H33" s="5">
        <v>1</v>
      </c>
      <c r="I33" s="5">
        <v>2</v>
      </c>
      <c r="J33" s="5">
        <v>1</v>
      </c>
      <c r="K33" s="5">
        <v>1</v>
      </c>
      <c r="L33" s="5">
        <v>0</v>
      </c>
      <c r="M33" s="5"/>
      <c r="N33" s="5">
        <v>2</v>
      </c>
      <c r="O33" s="5">
        <v>3</v>
      </c>
      <c r="P33" s="5">
        <v>1</v>
      </c>
      <c r="Q33" s="5"/>
      <c r="R33" s="5">
        <v>2</v>
      </c>
      <c r="S33" s="5">
        <v>2</v>
      </c>
      <c r="T33" s="5">
        <v>1</v>
      </c>
      <c r="U33" s="5">
        <v>1</v>
      </c>
      <c r="V33" s="5">
        <v>2</v>
      </c>
      <c r="W33" s="5">
        <v>2</v>
      </c>
      <c r="X33" s="5">
        <v>3</v>
      </c>
      <c r="Y33" s="5">
        <v>1</v>
      </c>
      <c r="Z33" s="5"/>
      <c r="AA33" s="5">
        <v>2</v>
      </c>
      <c r="AB33" s="5">
        <v>1</v>
      </c>
      <c r="AC33" s="5">
        <v>0</v>
      </c>
      <c r="AD33" s="5">
        <v>0</v>
      </c>
      <c r="AE33" s="5">
        <v>2</v>
      </c>
      <c r="AF33" s="5">
        <v>2</v>
      </c>
      <c r="AG33" s="5">
        <v>3</v>
      </c>
      <c r="AH33" s="5"/>
      <c r="AI33" s="6"/>
    </row>
    <row r="34" spans="1:35" ht="15.75" hidden="1" customHeight="1" x14ac:dyDescent="0.35">
      <c r="A34" s="37" t="s">
        <v>312</v>
      </c>
      <c r="B34" s="37" t="s">
        <v>311</v>
      </c>
      <c r="C34" s="1">
        <v>45664.638238738422</v>
      </c>
      <c r="D34" s="2" t="s">
        <v>82</v>
      </c>
      <c r="E34" s="2" t="s">
        <v>20</v>
      </c>
      <c r="F34" s="2">
        <v>1</v>
      </c>
      <c r="G34" s="2">
        <v>3</v>
      </c>
      <c r="H34" s="2">
        <v>2</v>
      </c>
      <c r="I34" s="2">
        <v>2</v>
      </c>
      <c r="J34" s="2">
        <v>3</v>
      </c>
      <c r="K34" s="2">
        <v>2</v>
      </c>
      <c r="L34" s="2">
        <v>2</v>
      </c>
      <c r="M34" s="2" t="s">
        <v>64</v>
      </c>
      <c r="N34" s="2">
        <v>4</v>
      </c>
      <c r="O34" s="2">
        <v>3</v>
      </c>
      <c r="P34" s="2">
        <v>4</v>
      </c>
      <c r="Q34" s="2"/>
      <c r="R34" s="2">
        <v>2</v>
      </c>
      <c r="S34" s="2">
        <v>3</v>
      </c>
      <c r="T34" s="2">
        <v>2</v>
      </c>
      <c r="U34" s="2">
        <v>3</v>
      </c>
      <c r="V34" s="2">
        <v>2</v>
      </c>
      <c r="W34" s="2">
        <v>4</v>
      </c>
      <c r="X34" s="2">
        <v>4</v>
      </c>
      <c r="Y34" s="2">
        <v>2</v>
      </c>
      <c r="Z34" s="2" t="s">
        <v>83</v>
      </c>
      <c r="AA34" s="2">
        <v>2</v>
      </c>
      <c r="AB34" s="2">
        <v>1</v>
      </c>
      <c r="AC34" s="2">
        <v>2</v>
      </c>
      <c r="AD34" s="2">
        <v>1</v>
      </c>
      <c r="AE34" s="2">
        <v>3</v>
      </c>
      <c r="AF34" s="2">
        <v>3</v>
      </c>
      <c r="AG34" s="2">
        <v>3</v>
      </c>
      <c r="AH34" s="2" t="s">
        <v>84</v>
      </c>
      <c r="AI34" s="3"/>
    </row>
    <row r="35" spans="1:35" ht="15.75" hidden="1" customHeight="1" x14ac:dyDescent="0.35">
      <c r="A35" s="37" t="s">
        <v>312</v>
      </c>
      <c r="B35" s="37" t="s">
        <v>311</v>
      </c>
      <c r="C35" s="4">
        <v>45664.638402893514</v>
      </c>
      <c r="D35" s="5" t="s">
        <v>85</v>
      </c>
      <c r="E35" s="5" t="s">
        <v>20</v>
      </c>
      <c r="F35" s="5">
        <v>1</v>
      </c>
      <c r="G35" s="5">
        <v>1</v>
      </c>
      <c r="H35" s="5">
        <v>2</v>
      </c>
      <c r="I35" s="5">
        <v>1</v>
      </c>
      <c r="J35" s="5">
        <v>1</v>
      </c>
      <c r="K35" s="5">
        <v>2</v>
      </c>
      <c r="L35" s="5">
        <v>1</v>
      </c>
      <c r="M35" s="5" t="s">
        <v>86</v>
      </c>
      <c r="N35" s="5">
        <v>2</v>
      </c>
      <c r="O35" s="5">
        <v>3</v>
      </c>
      <c r="P35" s="5">
        <v>1</v>
      </c>
      <c r="Q35" s="5" t="s">
        <v>87</v>
      </c>
      <c r="R35" s="5">
        <v>1</v>
      </c>
      <c r="S35" s="5">
        <v>3</v>
      </c>
      <c r="T35" s="5">
        <v>1</v>
      </c>
      <c r="U35" s="5">
        <v>1</v>
      </c>
      <c r="V35" s="5">
        <v>1</v>
      </c>
      <c r="W35" s="5" t="s">
        <v>56</v>
      </c>
      <c r="X35" s="5">
        <v>3</v>
      </c>
      <c r="Y35" s="5">
        <v>1</v>
      </c>
      <c r="Z35" s="5" t="s">
        <v>88</v>
      </c>
      <c r="AA35" s="5">
        <v>3</v>
      </c>
      <c r="AB35" s="5">
        <v>1</v>
      </c>
      <c r="AC35" s="5">
        <v>1</v>
      </c>
      <c r="AD35" s="5">
        <v>2</v>
      </c>
      <c r="AE35" s="5">
        <v>4</v>
      </c>
      <c r="AF35" s="5">
        <v>2</v>
      </c>
      <c r="AG35" s="5">
        <v>3</v>
      </c>
      <c r="AH35" s="5" t="s">
        <v>89</v>
      </c>
      <c r="AI35" s="6"/>
    </row>
    <row r="36" spans="1:35" ht="15.75" hidden="1" customHeight="1" x14ac:dyDescent="0.35">
      <c r="A36" s="37" t="s">
        <v>312</v>
      </c>
      <c r="B36" s="37" t="s">
        <v>311</v>
      </c>
      <c r="C36" s="1">
        <v>45664.638484884257</v>
      </c>
      <c r="D36" s="2" t="s">
        <v>90</v>
      </c>
      <c r="E36" s="2" t="s">
        <v>20</v>
      </c>
      <c r="F36" s="2">
        <v>1</v>
      </c>
      <c r="G36" s="2">
        <v>3</v>
      </c>
      <c r="H36" s="2">
        <v>0</v>
      </c>
      <c r="I36" s="2">
        <v>2</v>
      </c>
      <c r="J36" s="2">
        <v>3</v>
      </c>
      <c r="K36" s="2">
        <v>0</v>
      </c>
      <c r="L36" s="2">
        <v>0</v>
      </c>
      <c r="M36" s="2"/>
      <c r="N36" s="2">
        <v>3</v>
      </c>
      <c r="O36" s="2">
        <v>1</v>
      </c>
      <c r="P36" s="2">
        <v>1</v>
      </c>
      <c r="Q36" s="2"/>
      <c r="R36" s="2">
        <v>3</v>
      </c>
      <c r="S36" s="2">
        <v>1</v>
      </c>
      <c r="T36" s="2">
        <v>1</v>
      </c>
      <c r="U36" s="2">
        <v>3</v>
      </c>
      <c r="V36" s="2">
        <v>1</v>
      </c>
      <c r="W36" s="2">
        <v>3</v>
      </c>
      <c r="X36" s="2">
        <v>1</v>
      </c>
      <c r="Y36" s="2">
        <v>1</v>
      </c>
      <c r="Z36" s="2"/>
      <c r="AA36" s="2">
        <v>2</v>
      </c>
      <c r="AB36" s="2">
        <v>3</v>
      </c>
      <c r="AC36" s="2">
        <v>2</v>
      </c>
      <c r="AD36" s="2">
        <v>2</v>
      </c>
      <c r="AE36" s="2">
        <v>3</v>
      </c>
      <c r="AF36" s="2">
        <v>3</v>
      </c>
      <c r="AG36" s="2">
        <v>3</v>
      </c>
      <c r="AH36" s="2"/>
      <c r="AI36" s="3"/>
    </row>
    <row r="37" spans="1:35" ht="15.75" hidden="1" customHeight="1" x14ac:dyDescent="0.35">
      <c r="A37" s="37" t="s">
        <v>312</v>
      </c>
      <c r="B37" s="37" t="s">
        <v>313</v>
      </c>
      <c r="C37" s="4">
        <v>45664.638647083339</v>
      </c>
      <c r="D37" s="5" t="s">
        <v>91</v>
      </c>
      <c r="E37" s="5" t="s">
        <v>20</v>
      </c>
      <c r="F37" s="5">
        <v>2</v>
      </c>
      <c r="G37" s="5">
        <v>1</v>
      </c>
      <c r="H37" s="5">
        <v>0</v>
      </c>
      <c r="I37" s="5">
        <v>1</v>
      </c>
      <c r="J37" s="5">
        <v>3</v>
      </c>
      <c r="K37" s="5">
        <v>1</v>
      </c>
      <c r="L37" s="5">
        <v>0</v>
      </c>
      <c r="M37" s="5" t="s">
        <v>92</v>
      </c>
      <c r="N37" s="5">
        <v>1</v>
      </c>
      <c r="O37" s="5">
        <v>4</v>
      </c>
      <c r="P37" s="5">
        <v>3</v>
      </c>
      <c r="Q37" s="5"/>
      <c r="R37" s="5">
        <v>3</v>
      </c>
      <c r="S37" s="5">
        <v>1</v>
      </c>
      <c r="T37" s="5">
        <v>2</v>
      </c>
      <c r="U37" s="5">
        <v>4</v>
      </c>
      <c r="V37" s="5">
        <v>2</v>
      </c>
      <c r="W37" s="5">
        <v>1</v>
      </c>
      <c r="X37" s="5">
        <v>3</v>
      </c>
      <c r="Y37" s="5">
        <v>3</v>
      </c>
      <c r="Z37" s="5" t="s">
        <v>93</v>
      </c>
      <c r="AA37" s="5">
        <v>3</v>
      </c>
      <c r="AB37" s="5">
        <v>3</v>
      </c>
      <c r="AC37" s="5">
        <v>1</v>
      </c>
      <c r="AD37" s="5">
        <v>2</v>
      </c>
      <c r="AE37" s="5">
        <v>3</v>
      </c>
      <c r="AF37" s="5">
        <v>3</v>
      </c>
      <c r="AG37" s="5">
        <v>3</v>
      </c>
      <c r="AH37" s="5" t="s">
        <v>94</v>
      </c>
      <c r="AI37" s="6"/>
    </row>
    <row r="38" spans="1:35" ht="15.75" hidden="1" customHeight="1" x14ac:dyDescent="0.35">
      <c r="A38" s="37" t="s">
        <v>312</v>
      </c>
      <c r="B38" s="37" t="s">
        <v>313</v>
      </c>
      <c r="C38" s="1">
        <v>45664.638662129626</v>
      </c>
      <c r="D38" s="2" t="s">
        <v>29</v>
      </c>
      <c r="E38" s="2" t="s">
        <v>20</v>
      </c>
      <c r="F38" s="2">
        <v>2</v>
      </c>
      <c r="G38" s="2">
        <v>4</v>
      </c>
      <c r="H38" s="2">
        <v>0</v>
      </c>
      <c r="I38" s="2">
        <v>1</v>
      </c>
      <c r="J38" s="2">
        <v>1</v>
      </c>
      <c r="K38" s="2">
        <v>2</v>
      </c>
      <c r="L38" s="2">
        <v>3</v>
      </c>
      <c r="M38" s="2" t="s">
        <v>64</v>
      </c>
      <c r="N38" s="2">
        <v>1</v>
      </c>
      <c r="O38" s="2">
        <v>3</v>
      </c>
      <c r="P38" s="2">
        <v>1</v>
      </c>
      <c r="Q38" s="2" t="s">
        <v>64</v>
      </c>
      <c r="R38" s="2">
        <v>2</v>
      </c>
      <c r="S38" s="2">
        <v>1</v>
      </c>
      <c r="T38" s="2">
        <v>2</v>
      </c>
      <c r="U38" s="2">
        <v>2</v>
      </c>
      <c r="V38" s="2">
        <v>4</v>
      </c>
      <c r="W38" s="2">
        <v>1</v>
      </c>
      <c r="X38" s="2">
        <v>4</v>
      </c>
      <c r="Y38" s="2">
        <v>1</v>
      </c>
      <c r="Z38" s="2"/>
      <c r="AA38" s="2">
        <v>5</v>
      </c>
      <c r="AB38" s="2">
        <v>1</v>
      </c>
      <c r="AC38" s="2">
        <v>0</v>
      </c>
      <c r="AD38" s="2">
        <v>0</v>
      </c>
      <c r="AE38" s="2">
        <v>1</v>
      </c>
      <c r="AF38" s="2">
        <v>3</v>
      </c>
      <c r="AG38" s="2">
        <v>4</v>
      </c>
      <c r="AH38" s="2" t="s">
        <v>95</v>
      </c>
      <c r="AI38" s="3"/>
    </row>
    <row r="39" spans="1:35" ht="15.75" hidden="1" customHeight="1" x14ac:dyDescent="0.35">
      <c r="A39" s="37" t="s">
        <v>312</v>
      </c>
      <c r="B39" s="37" t="s">
        <v>313</v>
      </c>
      <c r="C39" s="4">
        <v>45664.638728749997</v>
      </c>
      <c r="D39" s="5" t="s">
        <v>33</v>
      </c>
      <c r="E39" s="5" t="s">
        <v>20</v>
      </c>
      <c r="F39" s="5">
        <v>2</v>
      </c>
      <c r="G39" s="5">
        <v>4</v>
      </c>
      <c r="H39" s="5">
        <v>1</v>
      </c>
      <c r="I39" s="5">
        <v>4</v>
      </c>
      <c r="J39" s="5">
        <v>5</v>
      </c>
      <c r="K39" s="5">
        <v>3</v>
      </c>
      <c r="L39" s="5">
        <v>0</v>
      </c>
      <c r="M39" s="5"/>
      <c r="N39" s="5">
        <v>1</v>
      </c>
      <c r="O39" s="5">
        <v>4</v>
      </c>
      <c r="P39" s="5">
        <v>2</v>
      </c>
      <c r="Q39" s="5"/>
      <c r="R39" s="5">
        <v>4</v>
      </c>
      <c r="S39" s="5">
        <v>1</v>
      </c>
      <c r="T39" s="5">
        <v>3</v>
      </c>
      <c r="U39" s="5">
        <v>5</v>
      </c>
      <c r="V39" s="5">
        <v>4</v>
      </c>
      <c r="W39" s="5">
        <v>1</v>
      </c>
      <c r="X39" s="5">
        <v>3</v>
      </c>
      <c r="Y39" s="5">
        <v>2</v>
      </c>
      <c r="Z39" s="5"/>
      <c r="AA39" s="5">
        <v>2</v>
      </c>
      <c r="AB39" s="5">
        <v>4</v>
      </c>
      <c r="AC39" s="5">
        <v>3</v>
      </c>
      <c r="AD39" s="5">
        <v>5</v>
      </c>
      <c r="AE39" s="5">
        <v>2</v>
      </c>
      <c r="AF39" s="5">
        <v>2</v>
      </c>
      <c r="AG39" s="5">
        <v>2</v>
      </c>
      <c r="AH39" s="5"/>
      <c r="AI39" s="6" t="s">
        <v>96</v>
      </c>
    </row>
    <row r="40" spans="1:35" ht="15.75" hidden="1" customHeight="1" x14ac:dyDescent="0.35">
      <c r="A40" s="37" t="s">
        <v>312</v>
      </c>
      <c r="B40" s="37" t="s">
        <v>311</v>
      </c>
      <c r="C40" s="1">
        <v>45664.638912974537</v>
      </c>
      <c r="D40" s="2" t="s">
        <v>28</v>
      </c>
      <c r="E40" s="2" t="s">
        <v>20</v>
      </c>
      <c r="F40" s="2">
        <v>1</v>
      </c>
      <c r="G40" s="2">
        <v>1</v>
      </c>
      <c r="H40" s="2">
        <v>4</v>
      </c>
      <c r="I40" s="2">
        <v>4</v>
      </c>
      <c r="J40" s="2">
        <v>1</v>
      </c>
      <c r="K40" s="2">
        <v>0</v>
      </c>
      <c r="L40" s="2">
        <v>0</v>
      </c>
      <c r="M40" s="2"/>
      <c r="N40" s="2">
        <v>1</v>
      </c>
      <c r="O40" s="2">
        <v>1</v>
      </c>
      <c r="P40" s="2">
        <v>5</v>
      </c>
      <c r="Q40" s="2"/>
      <c r="R40" s="2">
        <v>4</v>
      </c>
      <c r="S40" s="2">
        <v>4</v>
      </c>
      <c r="T40" s="2">
        <v>4</v>
      </c>
      <c r="U40" s="2">
        <v>3</v>
      </c>
      <c r="V40" s="2">
        <v>1</v>
      </c>
      <c r="W40" s="2">
        <v>3</v>
      </c>
      <c r="X40" s="2">
        <v>1</v>
      </c>
      <c r="Y40" s="2">
        <v>1</v>
      </c>
      <c r="Z40" s="2" t="s">
        <v>97</v>
      </c>
      <c r="AA40" s="2">
        <v>1</v>
      </c>
      <c r="AB40" s="2">
        <v>5</v>
      </c>
      <c r="AC40" s="2">
        <v>2</v>
      </c>
      <c r="AD40" s="2">
        <v>4</v>
      </c>
      <c r="AE40" s="2">
        <v>3</v>
      </c>
      <c r="AF40" s="2">
        <v>1</v>
      </c>
      <c r="AG40" s="2">
        <v>1</v>
      </c>
      <c r="AH40" s="2"/>
      <c r="AI40" s="3" t="s">
        <v>98</v>
      </c>
    </row>
    <row r="41" spans="1:35" ht="15.75" hidden="1" customHeight="1" x14ac:dyDescent="0.35">
      <c r="A41" s="37" t="s">
        <v>312</v>
      </c>
      <c r="B41" s="37" t="s">
        <v>311</v>
      </c>
      <c r="C41" s="4">
        <v>45664.638992291671</v>
      </c>
      <c r="D41" s="5" t="s">
        <v>99</v>
      </c>
      <c r="E41" s="5" t="s">
        <v>77</v>
      </c>
      <c r="F41" s="5">
        <v>1</v>
      </c>
      <c r="G41" s="5">
        <v>1</v>
      </c>
      <c r="H41" s="5">
        <v>3</v>
      </c>
      <c r="I41" s="5">
        <v>0</v>
      </c>
      <c r="J41" s="5">
        <v>0</v>
      </c>
      <c r="K41" s="5">
        <v>0</v>
      </c>
      <c r="L41" s="5">
        <v>3</v>
      </c>
      <c r="M41" s="5" t="s">
        <v>100</v>
      </c>
      <c r="N41" s="5">
        <v>1</v>
      </c>
      <c r="O41" s="5">
        <v>1</v>
      </c>
      <c r="P41" s="5">
        <v>3</v>
      </c>
      <c r="Q41" s="5" t="s">
        <v>101</v>
      </c>
      <c r="R41" s="5">
        <v>2</v>
      </c>
      <c r="S41" s="5">
        <v>1</v>
      </c>
      <c r="T41" s="5">
        <v>1</v>
      </c>
      <c r="U41" s="5">
        <v>3</v>
      </c>
      <c r="V41" s="5">
        <v>1</v>
      </c>
      <c r="W41" s="5">
        <v>4</v>
      </c>
      <c r="X41" s="5">
        <v>3</v>
      </c>
      <c r="Y41" s="5">
        <v>2</v>
      </c>
      <c r="Z41" s="5" t="s">
        <v>102</v>
      </c>
      <c r="AA41" s="5">
        <v>4</v>
      </c>
      <c r="AB41" s="5">
        <v>4</v>
      </c>
      <c r="AC41" s="5">
        <v>1</v>
      </c>
      <c r="AD41" s="5">
        <v>2</v>
      </c>
      <c r="AE41" s="5">
        <v>5</v>
      </c>
      <c r="AF41" s="5">
        <v>2</v>
      </c>
      <c r="AG41" s="5">
        <v>3</v>
      </c>
      <c r="AH41" s="5" t="s">
        <v>103</v>
      </c>
      <c r="AI41" s="6"/>
    </row>
    <row r="42" spans="1:35" ht="15.75" hidden="1" customHeight="1" x14ac:dyDescent="0.35">
      <c r="A42" s="37" t="s">
        <v>312</v>
      </c>
      <c r="B42" s="37" t="s">
        <v>315</v>
      </c>
      <c r="C42" s="1">
        <v>45664.639442731481</v>
      </c>
      <c r="D42" s="2" t="s">
        <v>16</v>
      </c>
      <c r="E42" s="2" t="s">
        <v>17</v>
      </c>
      <c r="F42" s="2">
        <v>4</v>
      </c>
      <c r="G42" s="2">
        <v>1</v>
      </c>
      <c r="H42" s="2">
        <v>0</v>
      </c>
      <c r="I42" s="2">
        <v>0</v>
      </c>
      <c r="J42" s="2">
        <v>0</v>
      </c>
      <c r="K42" s="2">
        <v>0</v>
      </c>
      <c r="L42" s="2">
        <v>0</v>
      </c>
      <c r="M42" s="2"/>
      <c r="N42" s="2">
        <v>1</v>
      </c>
      <c r="O42" s="2">
        <v>1</v>
      </c>
      <c r="P42" s="2">
        <v>1</v>
      </c>
      <c r="Q42" s="2"/>
      <c r="R42" s="2">
        <v>2</v>
      </c>
      <c r="S42" s="2">
        <v>2</v>
      </c>
      <c r="T42" s="2">
        <v>2</v>
      </c>
      <c r="U42" s="2">
        <v>3</v>
      </c>
      <c r="V42" s="2">
        <v>1</v>
      </c>
      <c r="W42" s="2">
        <v>3</v>
      </c>
      <c r="X42" s="2">
        <v>4</v>
      </c>
      <c r="Y42" s="2">
        <v>3</v>
      </c>
      <c r="Z42" s="2"/>
      <c r="AA42" s="2">
        <v>1</v>
      </c>
      <c r="AB42" s="2">
        <v>4</v>
      </c>
      <c r="AC42" s="2">
        <v>3</v>
      </c>
      <c r="AD42" s="2">
        <v>3</v>
      </c>
      <c r="AE42" s="2">
        <v>1</v>
      </c>
      <c r="AF42" s="2">
        <v>1</v>
      </c>
      <c r="AG42" s="2">
        <v>1</v>
      </c>
      <c r="AH42" s="2"/>
      <c r="AI42" s="3"/>
    </row>
    <row r="43" spans="1:35" ht="15.75" hidden="1" customHeight="1" x14ac:dyDescent="0.35">
      <c r="A43" s="37" t="s">
        <v>312</v>
      </c>
      <c r="B43" s="37" t="s">
        <v>315</v>
      </c>
      <c r="C43" s="4">
        <v>45664.639463206018</v>
      </c>
      <c r="D43" s="5" t="s">
        <v>23</v>
      </c>
      <c r="E43" s="5" t="s">
        <v>20</v>
      </c>
      <c r="F43" s="5">
        <v>4</v>
      </c>
      <c r="G43" s="5">
        <v>2</v>
      </c>
      <c r="H43" s="5">
        <v>4</v>
      </c>
      <c r="I43" s="5">
        <v>0</v>
      </c>
      <c r="J43" s="5">
        <v>3</v>
      </c>
      <c r="K43" s="5">
        <v>3</v>
      </c>
      <c r="L43" s="5">
        <v>0</v>
      </c>
      <c r="M43" s="5"/>
      <c r="N43" s="5">
        <v>4</v>
      </c>
      <c r="O43" s="5">
        <v>4</v>
      </c>
      <c r="P43" s="5">
        <v>1</v>
      </c>
      <c r="Q43" s="5"/>
      <c r="R43" s="5">
        <v>2</v>
      </c>
      <c r="S43" s="5">
        <v>4</v>
      </c>
      <c r="T43" s="5">
        <v>2</v>
      </c>
      <c r="U43" s="5">
        <v>4</v>
      </c>
      <c r="V43" s="5">
        <v>2</v>
      </c>
      <c r="W43" s="5">
        <v>4</v>
      </c>
      <c r="X43" s="5">
        <v>4</v>
      </c>
      <c r="Y43" s="5">
        <v>2</v>
      </c>
      <c r="Z43" s="5"/>
      <c r="AA43" s="5">
        <v>2</v>
      </c>
      <c r="AB43" s="5">
        <v>4</v>
      </c>
      <c r="AC43" s="5">
        <v>2</v>
      </c>
      <c r="AD43" s="5">
        <v>4</v>
      </c>
      <c r="AE43" s="5">
        <v>3</v>
      </c>
      <c r="AF43" s="5">
        <v>3</v>
      </c>
      <c r="AG43" s="5">
        <v>3</v>
      </c>
      <c r="AH43" s="5">
        <v>6.7</v>
      </c>
      <c r="AI43" s="6"/>
    </row>
    <row r="44" spans="1:35" ht="15.75" hidden="1" customHeight="1" x14ac:dyDescent="0.35">
      <c r="A44" s="37" t="s">
        <v>312</v>
      </c>
      <c r="B44" s="37" t="s">
        <v>314</v>
      </c>
      <c r="C44" s="1">
        <v>45664.639533287038</v>
      </c>
      <c r="D44" s="2" t="s">
        <v>45</v>
      </c>
      <c r="E44" s="2" t="s">
        <v>17</v>
      </c>
      <c r="F44" s="2">
        <v>3</v>
      </c>
      <c r="G44" s="2">
        <v>4</v>
      </c>
      <c r="H44" s="2">
        <v>0</v>
      </c>
      <c r="I44" s="2">
        <v>1</v>
      </c>
      <c r="J44" s="2">
        <v>1</v>
      </c>
      <c r="K44" s="2">
        <v>0</v>
      </c>
      <c r="L44" s="2">
        <v>3</v>
      </c>
      <c r="M44" s="2" t="s">
        <v>37</v>
      </c>
      <c r="N44" s="2">
        <v>4</v>
      </c>
      <c r="O44" s="2">
        <v>3</v>
      </c>
      <c r="P44" s="2">
        <v>3</v>
      </c>
      <c r="Q44" s="2" t="s">
        <v>104</v>
      </c>
      <c r="R44" s="2">
        <v>1</v>
      </c>
      <c r="S44" s="2">
        <v>1</v>
      </c>
      <c r="T44" s="2">
        <v>1</v>
      </c>
      <c r="U44" s="2">
        <v>2</v>
      </c>
      <c r="V44" s="2">
        <v>3</v>
      </c>
      <c r="W44" s="2">
        <v>4</v>
      </c>
      <c r="X44" s="2">
        <v>3</v>
      </c>
      <c r="Y44" s="2">
        <v>3</v>
      </c>
      <c r="Z44" s="2" t="s">
        <v>37</v>
      </c>
      <c r="AA44" s="2">
        <v>4</v>
      </c>
      <c r="AB44" s="2">
        <v>2</v>
      </c>
      <c r="AC44" s="2">
        <v>1</v>
      </c>
      <c r="AD44" s="2">
        <v>1</v>
      </c>
      <c r="AE44" s="2">
        <v>4</v>
      </c>
      <c r="AF44" s="2">
        <v>4</v>
      </c>
      <c r="AG44" s="2">
        <v>4</v>
      </c>
      <c r="AH44" s="2" t="s">
        <v>105</v>
      </c>
      <c r="AI44" s="3"/>
    </row>
    <row r="45" spans="1:35" ht="15.75" hidden="1" customHeight="1" x14ac:dyDescent="0.35">
      <c r="A45" s="37" t="s">
        <v>312</v>
      </c>
      <c r="B45" s="37" t="s">
        <v>313</v>
      </c>
      <c r="C45" s="4">
        <v>45664.639701192129</v>
      </c>
      <c r="D45" s="5" t="s">
        <v>42</v>
      </c>
      <c r="E45" s="5" t="s">
        <v>20</v>
      </c>
      <c r="F45" s="5">
        <v>2</v>
      </c>
      <c r="G45" s="5">
        <v>4</v>
      </c>
      <c r="H45" s="5">
        <v>2</v>
      </c>
      <c r="I45" s="5">
        <v>3</v>
      </c>
      <c r="J45" s="5">
        <v>1</v>
      </c>
      <c r="K45" s="5">
        <v>0</v>
      </c>
      <c r="L45" s="5">
        <v>0</v>
      </c>
      <c r="M45" s="5"/>
      <c r="N45" s="5">
        <v>1</v>
      </c>
      <c r="O45" s="5">
        <v>1</v>
      </c>
      <c r="P45" s="5">
        <v>2</v>
      </c>
      <c r="Q45" s="5"/>
      <c r="R45" s="5">
        <v>2</v>
      </c>
      <c r="S45" s="5">
        <v>4</v>
      </c>
      <c r="T45" s="5">
        <v>2</v>
      </c>
      <c r="U45" s="5">
        <v>1</v>
      </c>
      <c r="V45" s="5">
        <v>1</v>
      </c>
      <c r="W45" s="5">
        <v>1</v>
      </c>
      <c r="X45" s="5">
        <v>1</v>
      </c>
      <c r="Y45" s="5">
        <v>2</v>
      </c>
      <c r="Z45" s="5"/>
      <c r="AA45" s="5">
        <v>3</v>
      </c>
      <c r="AB45" s="5">
        <v>2</v>
      </c>
      <c r="AC45" s="5">
        <v>1</v>
      </c>
      <c r="AD45" s="5">
        <v>3</v>
      </c>
      <c r="AE45" s="5">
        <v>3</v>
      </c>
      <c r="AF45" s="5">
        <v>4</v>
      </c>
      <c r="AG45" s="5">
        <v>3</v>
      </c>
      <c r="AH45" s="5"/>
      <c r="AI45" s="6"/>
    </row>
    <row r="46" spans="1:35" ht="15.75" hidden="1" customHeight="1" x14ac:dyDescent="0.35">
      <c r="A46" s="37" t="s">
        <v>312</v>
      </c>
      <c r="B46" s="37" t="s">
        <v>314</v>
      </c>
      <c r="C46" s="1">
        <v>45664.63976528935</v>
      </c>
      <c r="D46" s="2" t="s">
        <v>75</v>
      </c>
      <c r="E46" s="2" t="s">
        <v>17</v>
      </c>
      <c r="F46" s="2">
        <v>3</v>
      </c>
      <c r="G46" s="2">
        <v>2</v>
      </c>
      <c r="H46" s="2">
        <v>1</v>
      </c>
      <c r="I46" s="2">
        <v>0</v>
      </c>
      <c r="J46" s="2">
        <v>2</v>
      </c>
      <c r="K46" s="2">
        <v>1</v>
      </c>
      <c r="L46" s="2">
        <v>0</v>
      </c>
      <c r="M46" s="2"/>
      <c r="N46" s="2">
        <v>3</v>
      </c>
      <c r="O46" s="2">
        <v>2</v>
      </c>
      <c r="P46" s="2">
        <v>3</v>
      </c>
      <c r="Q46" s="2"/>
      <c r="R46" s="2">
        <v>3</v>
      </c>
      <c r="S46" s="2">
        <v>1</v>
      </c>
      <c r="T46" s="2">
        <v>1</v>
      </c>
      <c r="U46" s="2">
        <v>2</v>
      </c>
      <c r="V46" s="2">
        <v>1</v>
      </c>
      <c r="W46" s="2">
        <v>2</v>
      </c>
      <c r="X46" s="2">
        <v>2</v>
      </c>
      <c r="Y46" s="2">
        <v>4</v>
      </c>
      <c r="Z46" s="2"/>
      <c r="AA46" s="2">
        <v>3</v>
      </c>
      <c r="AB46" s="2">
        <v>2</v>
      </c>
      <c r="AC46" s="2">
        <v>2</v>
      </c>
      <c r="AD46" s="2">
        <v>2</v>
      </c>
      <c r="AE46" s="2">
        <v>2</v>
      </c>
      <c r="AF46" s="2">
        <v>2</v>
      </c>
      <c r="AG46" s="2">
        <v>3</v>
      </c>
      <c r="AH46" s="2">
        <v>5</v>
      </c>
      <c r="AI46" s="3" t="s">
        <v>106</v>
      </c>
    </row>
    <row r="47" spans="1:35" ht="15.75" hidden="1" customHeight="1" x14ac:dyDescent="0.35">
      <c r="A47" s="37" t="s">
        <v>312</v>
      </c>
      <c r="B47" s="37" t="s">
        <v>313</v>
      </c>
      <c r="C47" s="4">
        <v>45664.639933206017</v>
      </c>
      <c r="D47" s="5" t="s">
        <v>107</v>
      </c>
      <c r="E47" s="5" t="s">
        <v>20</v>
      </c>
      <c r="F47" s="5">
        <v>2</v>
      </c>
      <c r="G47" s="5" t="s">
        <v>69</v>
      </c>
      <c r="H47" s="5">
        <v>2</v>
      </c>
      <c r="I47" s="5">
        <v>1</v>
      </c>
      <c r="J47" s="5" t="s">
        <v>59</v>
      </c>
      <c r="K47" s="5" t="s">
        <v>59</v>
      </c>
      <c r="L47" s="5">
        <v>2</v>
      </c>
      <c r="M47" s="5" t="s">
        <v>108</v>
      </c>
      <c r="N47" s="5">
        <v>2</v>
      </c>
      <c r="O47" s="5">
        <v>4</v>
      </c>
      <c r="P47" s="5">
        <v>3</v>
      </c>
      <c r="Q47" s="5"/>
      <c r="R47" s="5">
        <v>4</v>
      </c>
      <c r="S47" s="5">
        <v>4</v>
      </c>
      <c r="T47" s="5">
        <v>2</v>
      </c>
      <c r="U47" s="5">
        <v>3</v>
      </c>
      <c r="V47" s="5">
        <v>3</v>
      </c>
      <c r="W47" s="5">
        <v>3</v>
      </c>
      <c r="X47" s="5">
        <v>4</v>
      </c>
      <c r="Y47" s="5">
        <v>2</v>
      </c>
      <c r="Z47" s="5"/>
      <c r="AA47" s="5">
        <v>4</v>
      </c>
      <c r="AB47" s="5">
        <v>5</v>
      </c>
      <c r="AC47" s="5">
        <v>4</v>
      </c>
      <c r="AD47" s="5">
        <v>3</v>
      </c>
      <c r="AE47" s="5">
        <v>4</v>
      </c>
      <c r="AF47" s="5">
        <v>4</v>
      </c>
      <c r="AG47" s="5">
        <v>4</v>
      </c>
      <c r="AH47" s="5" t="s">
        <v>109</v>
      </c>
      <c r="AI47" s="6"/>
    </row>
    <row r="48" spans="1:35" ht="15.75" hidden="1" customHeight="1" x14ac:dyDescent="0.35">
      <c r="A48" s="37" t="s">
        <v>312</v>
      </c>
      <c r="B48" s="37" t="s">
        <v>314</v>
      </c>
      <c r="C48" s="1">
        <v>45664.640201550923</v>
      </c>
      <c r="D48" s="2" t="s">
        <v>44</v>
      </c>
      <c r="E48" s="2" t="s">
        <v>20</v>
      </c>
      <c r="F48" s="2">
        <v>3</v>
      </c>
      <c r="G48" s="2">
        <v>1</v>
      </c>
      <c r="H48" s="2">
        <v>0</v>
      </c>
      <c r="I48" s="2">
        <v>0</v>
      </c>
      <c r="J48" s="2">
        <v>0</v>
      </c>
      <c r="K48" s="2">
        <v>0</v>
      </c>
      <c r="L48" s="2">
        <v>0</v>
      </c>
      <c r="M48" s="2" t="s">
        <v>110</v>
      </c>
      <c r="N48" s="2">
        <v>1</v>
      </c>
      <c r="O48" s="2">
        <v>1</v>
      </c>
      <c r="P48" s="2">
        <v>1</v>
      </c>
      <c r="Q48" s="2"/>
      <c r="R48" s="2">
        <v>2</v>
      </c>
      <c r="S48" s="2">
        <v>1</v>
      </c>
      <c r="T48" s="2">
        <v>1</v>
      </c>
      <c r="U48" s="2">
        <v>1</v>
      </c>
      <c r="V48" s="2">
        <v>1</v>
      </c>
      <c r="W48" s="2">
        <v>2</v>
      </c>
      <c r="X48" s="2">
        <v>3</v>
      </c>
      <c r="Y48" s="2">
        <v>1</v>
      </c>
      <c r="Z48" s="2"/>
      <c r="AA48" s="2">
        <v>2</v>
      </c>
      <c r="AB48" s="2">
        <v>1</v>
      </c>
      <c r="AC48" s="2">
        <v>1</v>
      </c>
      <c r="AD48" s="2">
        <v>0</v>
      </c>
      <c r="AE48" s="2">
        <v>2</v>
      </c>
      <c r="AF48" s="2">
        <v>2</v>
      </c>
      <c r="AG48" s="2">
        <v>2</v>
      </c>
      <c r="AH48" s="2"/>
      <c r="AI48" s="3"/>
    </row>
    <row r="49" spans="1:35" ht="15.75" hidden="1" customHeight="1" x14ac:dyDescent="0.35">
      <c r="A49" s="37" t="s">
        <v>312</v>
      </c>
      <c r="B49" s="37" t="s">
        <v>315</v>
      </c>
      <c r="C49" s="4">
        <v>45664.640319155093</v>
      </c>
      <c r="D49" s="5" t="s">
        <v>30</v>
      </c>
      <c r="E49" s="5" t="s">
        <v>20</v>
      </c>
      <c r="F49" s="5">
        <v>4</v>
      </c>
      <c r="G49" s="5" t="s">
        <v>69</v>
      </c>
      <c r="H49" s="5">
        <v>5</v>
      </c>
      <c r="I49" s="5">
        <v>3</v>
      </c>
      <c r="J49" s="5">
        <v>2</v>
      </c>
      <c r="K49" s="5">
        <v>2</v>
      </c>
      <c r="L49" s="5">
        <v>2</v>
      </c>
      <c r="M49" s="5"/>
      <c r="N49" s="5">
        <v>4</v>
      </c>
      <c r="O49" s="5">
        <v>3</v>
      </c>
      <c r="P49" s="5">
        <v>1</v>
      </c>
      <c r="Q49" s="5" t="s">
        <v>111</v>
      </c>
      <c r="R49" s="5">
        <v>5</v>
      </c>
      <c r="S49" s="5">
        <v>2</v>
      </c>
      <c r="T49" s="5">
        <v>4</v>
      </c>
      <c r="U49" s="5">
        <v>5</v>
      </c>
      <c r="V49" s="5">
        <v>3</v>
      </c>
      <c r="W49" s="5">
        <v>1</v>
      </c>
      <c r="X49" s="5">
        <v>4</v>
      </c>
      <c r="Y49" s="5">
        <v>5</v>
      </c>
      <c r="Z49" s="5"/>
      <c r="AA49" s="5">
        <v>3</v>
      </c>
      <c r="AB49" s="5">
        <v>4</v>
      </c>
      <c r="AC49" s="5">
        <v>5</v>
      </c>
      <c r="AD49" s="5">
        <v>3</v>
      </c>
      <c r="AE49" s="5">
        <v>2</v>
      </c>
      <c r="AF49" s="5">
        <v>3</v>
      </c>
      <c r="AG49" s="5">
        <v>2</v>
      </c>
      <c r="AH49" s="5"/>
      <c r="AI49" s="6"/>
    </row>
    <row r="50" spans="1:35" ht="15.75" hidden="1" customHeight="1" x14ac:dyDescent="0.35">
      <c r="A50" s="37" t="s">
        <v>312</v>
      </c>
      <c r="B50" s="37" t="s">
        <v>313</v>
      </c>
      <c r="C50" s="1">
        <v>45664.64032283565</v>
      </c>
      <c r="D50" s="2" t="s">
        <v>39</v>
      </c>
      <c r="E50" s="2" t="s">
        <v>20</v>
      </c>
      <c r="F50" s="2">
        <v>2</v>
      </c>
      <c r="G50" s="2" t="s">
        <v>59</v>
      </c>
      <c r="H50" s="2">
        <v>1</v>
      </c>
      <c r="I50" s="2">
        <v>2</v>
      </c>
      <c r="J50" s="2">
        <v>2</v>
      </c>
      <c r="K50" s="2">
        <v>0</v>
      </c>
      <c r="L50" s="2">
        <v>0</v>
      </c>
      <c r="M50" s="2" t="s">
        <v>112</v>
      </c>
      <c r="N50" s="2">
        <v>2</v>
      </c>
      <c r="O50" s="2">
        <v>3</v>
      </c>
      <c r="P50" s="2">
        <v>2</v>
      </c>
      <c r="Q50" s="2"/>
      <c r="R50" s="2">
        <v>3</v>
      </c>
      <c r="S50" s="2">
        <v>1</v>
      </c>
      <c r="T50" s="2">
        <v>3</v>
      </c>
      <c r="U50" s="2">
        <v>3</v>
      </c>
      <c r="V50" s="2">
        <v>2</v>
      </c>
      <c r="W50" s="2">
        <v>2</v>
      </c>
      <c r="X50" s="2">
        <v>3</v>
      </c>
      <c r="Y50" s="2">
        <v>3</v>
      </c>
      <c r="Z50" s="2"/>
      <c r="AA50" s="2">
        <v>2</v>
      </c>
      <c r="AB50" s="2">
        <v>2</v>
      </c>
      <c r="AC50" s="2">
        <v>2</v>
      </c>
      <c r="AD50" s="2">
        <v>2</v>
      </c>
      <c r="AE50" s="2">
        <v>3</v>
      </c>
      <c r="AF50" s="2">
        <v>3</v>
      </c>
      <c r="AG50" s="2">
        <v>2</v>
      </c>
      <c r="AH50" s="2"/>
      <c r="AI50" s="3"/>
    </row>
    <row r="51" spans="1:35" ht="15.75" hidden="1" customHeight="1" x14ac:dyDescent="0.35">
      <c r="A51" s="37" t="s">
        <v>312</v>
      </c>
      <c r="B51" s="37" t="s">
        <v>313</v>
      </c>
      <c r="C51" s="4">
        <v>45664.640462650466</v>
      </c>
      <c r="D51" s="5" t="s">
        <v>55</v>
      </c>
      <c r="E51" s="5" t="s">
        <v>17</v>
      </c>
      <c r="F51" s="5">
        <v>2</v>
      </c>
      <c r="G51" s="5" t="s">
        <v>59</v>
      </c>
      <c r="H51" s="5" t="s">
        <v>56</v>
      </c>
      <c r="I51" s="5">
        <v>1</v>
      </c>
      <c r="J51" s="5">
        <v>0</v>
      </c>
      <c r="K51" s="5">
        <v>0</v>
      </c>
      <c r="L51" s="5">
        <v>0</v>
      </c>
      <c r="M51" s="5" t="s">
        <v>113</v>
      </c>
      <c r="N51" s="5">
        <v>3</v>
      </c>
      <c r="O51" s="5">
        <v>2</v>
      </c>
      <c r="P51" s="5">
        <v>2</v>
      </c>
      <c r="Q51" s="5"/>
      <c r="R51" s="5">
        <v>1</v>
      </c>
      <c r="S51" s="5">
        <v>1</v>
      </c>
      <c r="T51" s="5">
        <v>1</v>
      </c>
      <c r="U51" s="5">
        <v>1</v>
      </c>
      <c r="V51" s="5">
        <v>1</v>
      </c>
      <c r="W51" s="5">
        <v>2</v>
      </c>
      <c r="X51" s="5">
        <v>2</v>
      </c>
      <c r="Y51" s="5">
        <v>2</v>
      </c>
      <c r="Z51" s="5" t="s">
        <v>114</v>
      </c>
      <c r="AA51" s="5">
        <v>2</v>
      </c>
      <c r="AB51" s="5">
        <v>1</v>
      </c>
      <c r="AC51" s="5">
        <v>2</v>
      </c>
      <c r="AD51" s="5">
        <v>2</v>
      </c>
      <c r="AE51" s="5">
        <v>3</v>
      </c>
      <c r="AF51" s="5">
        <v>3</v>
      </c>
      <c r="AG51" s="5">
        <v>2</v>
      </c>
      <c r="AH51" s="5"/>
      <c r="AI51" s="6"/>
    </row>
    <row r="52" spans="1:35" ht="15.75" hidden="1" customHeight="1" x14ac:dyDescent="0.35">
      <c r="A52" s="37" t="s">
        <v>312</v>
      </c>
      <c r="B52" s="37" t="s">
        <v>313</v>
      </c>
      <c r="C52" s="1">
        <v>45664.640506574069</v>
      </c>
      <c r="D52" s="2" t="s">
        <v>115</v>
      </c>
      <c r="E52" s="2" t="s">
        <v>17</v>
      </c>
      <c r="F52" s="2">
        <v>2</v>
      </c>
      <c r="G52" s="2">
        <v>3</v>
      </c>
      <c r="H52" s="2">
        <v>2</v>
      </c>
      <c r="I52" s="2">
        <v>1</v>
      </c>
      <c r="J52" s="2">
        <v>2</v>
      </c>
      <c r="K52" s="2">
        <v>0</v>
      </c>
      <c r="L52" s="2">
        <v>0</v>
      </c>
      <c r="M52" s="2"/>
      <c r="N52" s="2">
        <v>4</v>
      </c>
      <c r="O52" s="2">
        <v>4</v>
      </c>
      <c r="P52" s="2">
        <v>2</v>
      </c>
      <c r="Q52" s="2"/>
      <c r="R52" s="2">
        <v>4</v>
      </c>
      <c r="S52" s="2">
        <v>4</v>
      </c>
      <c r="T52" s="2">
        <v>3</v>
      </c>
      <c r="U52" s="2">
        <v>4</v>
      </c>
      <c r="V52" s="2">
        <v>2</v>
      </c>
      <c r="W52" s="2">
        <v>2</v>
      </c>
      <c r="X52" s="2">
        <v>1</v>
      </c>
      <c r="Y52" s="2">
        <v>3</v>
      </c>
      <c r="Z52" s="2"/>
      <c r="AA52" s="2">
        <v>4</v>
      </c>
      <c r="AB52" s="2">
        <v>3</v>
      </c>
      <c r="AC52" s="2">
        <v>2</v>
      </c>
      <c r="AD52" s="2">
        <v>1</v>
      </c>
      <c r="AE52" s="2">
        <v>4</v>
      </c>
      <c r="AF52" s="2">
        <v>4</v>
      </c>
      <c r="AG52" s="2">
        <v>5</v>
      </c>
      <c r="AH52" s="2"/>
      <c r="AI52" s="3"/>
    </row>
    <row r="53" spans="1:35" ht="12.75" hidden="1" x14ac:dyDescent="0.35">
      <c r="A53" s="37" t="s">
        <v>312</v>
      </c>
      <c r="B53" s="37" t="s">
        <v>311</v>
      </c>
      <c r="C53" s="4">
        <v>45664.640637696764</v>
      </c>
      <c r="D53" s="5" t="s">
        <v>116</v>
      </c>
      <c r="E53" s="5" t="s">
        <v>20</v>
      </c>
      <c r="F53" s="5">
        <v>1</v>
      </c>
      <c r="G53" s="5">
        <v>2</v>
      </c>
      <c r="H53" s="5">
        <v>0</v>
      </c>
      <c r="I53" s="5">
        <v>0</v>
      </c>
      <c r="J53" s="5">
        <v>1</v>
      </c>
      <c r="K53" s="5">
        <v>0</v>
      </c>
      <c r="L53" s="5">
        <v>0</v>
      </c>
      <c r="M53" s="5"/>
      <c r="N53" s="5">
        <v>1</v>
      </c>
      <c r="O53" s="5">
        <v>1</v>
      </c>
      <c r="P53" s="5">
        <v>2</v>
      </c>
      <c r="Q53" s="5" t="s">
        <v>117</v>
      </c>
      <c r="R53" s="5">
        <v>1</v>
      </c>
      <c r="S53" s="5">
        <v>3</v>
      </c>
      <c r="T53" s="5">
        <v>1</v>
      </c>
      <c r="U53" s="5">
        <v>2</v>
      </c>
      <c r="V53" s="5">
        <v>1</v>
      </c>
      <c r="W53" s="5">
        <v>1</v>
      </c>
      <c r="X53" s="5">
        <v>1</v>
      </c>
      <c r="Y53" s="5">
        <v>3</v>
      </c>
      <c r="Z53" s="5" t="s">
        <v>118</v>
      </c>
      <c r="AA53" s="5">
        <v>4</v>
      </c>
      <c r="AB53" s="5">
        <v>2</v>
      </c>
      <c r="AC53" s="5">
        <v>0</v>
      </c>
      <c r="AD53" s="5">
        <v>1</v>
      </c>
      <c r="AE53" s="5">
        <v>5</v>
      </c>
      <c r="AF53" s="5">
        <v>4</v>
      </c>
      <c r="AG53" s="5">
        <v>4</v>
      </c>
      <c r="AH53" s="5"/>
      <c r="AI53" s="6"/>
    </row>
    <row r="54" spans="1:35" ht="12.75" hidden="1" x14ac:dyDescent="0.35">
      <c r="A54" s="37" t="s">
        <v>312</v>
      </c>
      <c r="B54" s="37" t="s">
        <v>314</v>
      </c>
      <c r="C54" s="1">
        <v>45664.64079769676</v>
      </c>
      <c r="D54" s="2" t="s">
        <v>24</v>
      </c>
      <c r="E54" s="2" t="s">
        <v>20</v>
      </c>
      <c r="F54" s="2">
        <v>3</v>
      </c>
      <c r="G54" s="2">
        <v>3</v>
      </c>
      <c r="H54" s="2">
        <v>1</v>
      </c>
      <c r="I54" s="2">
        <v>1</v>
      </c>
      <c r="J54" s="2">
        <v>2</v>
      </c>
      <c r="K54" s="2">
        <v>1</v>
      </c>
      <c r="L54" s="2">
        <v>4</v>
      </c>
      <c r="M54" s="2" t="s">
        <v>119</v>
      </c>
      <c r="N54" s="2">
        <v>1</v>
      </c>
      <c r="O54" s="2">
        <v>2</v>
      </c>
      <c r="P54" s="2">
        <v>3</v>
      </c>
      <c r="Q54" s="2" t="s">
        <v>120</v>
      </c>
      <c r="R54" s="2">
        <v>1</v>
      </c>
      <c r="S54" s="2">
        <v>2</v>
      </c>
      <c r="T54" s="2">
        <v>1</v>
      </c>
      <c r="U54" s="2">
        <v>2</v>
      </c>
      <c r="V54" s="2">
        <v>3</v>
      </c>
      <c r="W54" s="2">
        <v>2</v>
      </c>
      <c r="X54" s="2">
        <v>2</v>
      </c>
      <c r="Y54" s="2">
        <v>4</v>
      </c>
      <c r="Z54" s="2" t="s">
        <v>121</v>
      </c>
      <c r="AA54" s="2">
        <v>3</v>
      </c>
      <c r="AB54" s="2">
        <v>4</v>
      </c>
      <c r="AC54" s="2">
        <v>1</v>
      </c>
      <c r="AD54" s="2">
        <v>1</v>
      </c>
      <c r="AE54" s="2">
        <v>3</v>
      </c>
      <c r="AF54" s="2">
        <v>2</v>
      </c>
      <c r="AG54" s="2">
        <v>3</v>
      </c>
      <c r="AH54" s="2" t="s">
        <v>122</v>
      </c>
      <c r="AI54" s="3"/>
    </row>
    <row r="55" spans="1:35" ht="12.75" hidden="1" x14ac:dyDescent="0.35">
      <c r="A55" s="37" t="s">
        <v>312</v>
      </c>
      <c r="B55" s="37" t="s">
        <v>313</v>
      </c>
      <c r="C55" s="4">
        <v>45664.640952696762</v>
      </c>
      <c r="D55" s="5" t="s">
        <v>49</v>
      </c>
      <c r="E55" s="5" t="s">
        <v>17</v>
      </c>
      <c r="F55" s="5">
        <v>2</v>
      </c>
      <c r="G55" s="5">
        <v>3</v>
      </c>
      <c r="H55" s="5">
        <v>0</v>
      </c>
      <c r="I55" s="5">
        <v>1</v>
      </c>
      <c r="J55" s="5">
        <v>2</v>
      </c>
      <c r="K55" s="5">
        <v>1</v>
      </c>
      <c r="L55" s="5">
        <v>0</v>
      </c>
      <c r="M55" s="5" t="s">
        <v>123</v>
      </c>
      <c r="N55" s="5">
        <v>3</v>
      </c>
      <c r="O55" s="5">
        <v>3</v>
      </c>
      <c r="P55" s="5">
        <v>2</v>
      </c>
      <c r="Q55" s="5" t="s">
        <v>51</v>
      </c>
      <c r="R55" s="5">
        <v>3</v>
      </c>
      <c r="S55" s="5">
        <v>1</v>
      </c>
      <c r="T55" s="5">
        <v>2</v>
      </c>
      <c r="U55" s="5">
        <v>3</v>
      </c>
      <c r="V55" s="5">
        <v>2</v>
      </c>
      <c r="W55" s="5">
        <v>3</v>
      </c>
      <c r="X55" s="5">
        <v>3</v>
      </c>
      <c r="Y55" s="5">
        <v>2</v>
      </c>
      <c r="Z55" s="5" t="s">
        <v>51</v>
      </c>
      <c r="AA55" s="5">
        <v>3</v>
      </c>
      <c r="AB55" s="5">
        <v>2</v>
      </c>
      <c r="AC55" s="5">
        <v>2</v>
      </c>
      <c r="AD55" s="5">
        <v>1</v>
      </c>
      <c r="AE55" s="5">
        <v>3</v>
      </c>
      <c r="AF55" s="5">
        <v>2</v>
      </c>
      <c r="AG55" s="5">
        <v>3</v>
      </c>
      <c r="AH55" s="5"/>
      <c r="AI55" s="6"/>
    </row>
    <row r="56" spans="1:35" ht="12.75" hidden="1" x14ac:dyDescent="0.35">
      <c r="A56" s="37" t="s">
        <v>312</v>
      </c>
      <c r="B56" s="37" t="s">
        <v>313</v>
      </c>
      <c r="C56" s="1">
        <v>45664.640960300923</v>
      </c>
      <c r="D56" s="2" t="s">
        <v>76</v>
      </c>
      <c r="E56" s="2" t="s">
        <v>77</v>
      </c>
      <c r="F56" s="2">
        <v>2</v>
      </c>
      <c r="G56" s="2">
        <v>1</v>
      </c>
      <c r="H56" s="2">
        <v>1</v>
      </c>
      <c r="I56" s="2">
        <v>0</v>
      </c>
      <c r="J56" s="2">
        <v>1</v>
      </c>
      <c r="K56" s="2">
        <v>0</v>
      </c>
      <c r="L56" s="2">
        <v>0</v>
      </c>
      <c r="M56" s="2" t="s">
        <v>124</v>
      </c>
      <c r="N56" s="2">
        <v>1</v>
      </c>
      <c r="O56" s="2">
        <v>1</v>
      </c>
      <c r="P56" s="2">
        <v>2</v>
      </c>
      <c r="Q56" s="2"/>
      <c r="R56" s="2">
        <v>1</v>
      </c>
      <c r="S56" s="2">
        <v>1</v>
      </c>
      <c r="T56" s="2">
        <v>1</v>
      </c>
      <c r="U56" s="2">
        <v>2</v>
      </c>
      <c r="V56" s="2">
        <v>1</v>
      </c>
      <c r="W56" s="2">
        <v>1</v>
      </c>
      <c r="X56" s="2">
        <v>1</v>
      </c>
      <c r="Y56" s="2">
        <v>2</v>
      </c>
      <c r="Z56" s="2" t="s">
        <v>125</v>
      </c>
      <c r="AA56" s="2">
        <v>1</v>
      </c>
      <c r="AB56" s="2">
        <v>1</v>
      </c>
      <c r="AC56" s="2">
        <v>0</v>
      </c>
      <c r="AD56" s="2">
        <v>0</v>
      </c>
      <c r="AE56" s="2">
        <v>4</v>
      </c>
      <c r="AF56" s="2">
        <v>3</v>
      </c>
      <c r="AG56" s="2">
        <v>2</v>
      </c>
      <c r="AH56" s="2" t="s">
        <v>126</v>
      </c>
      <c r="AI56" s="3"/>
    </row>
    <row r="57" spans="1:35" ht="12.75" hidden="1" x14ac:dyDescent="0.35">
      <c r="A57" s="37" t="s">
        <v>312</v>
      </c>
      <c r="B57" s="37" t="s">
        <v>311</v>
      </c>
      <c r="C57" s="4">
        <v>45664.640986770828</v>
      </c>
      <c r="D57" s="5" t="s">
        <v>127</v>
      </c>
      <c r="E57" s="5" t="s">
        <v>20</v>
      </c>
      <c r="F57" s="5">
        <v>1</v>
      </c>
      <c r="G57" s="5">
        <v>5</v>
      </c>
      <c r="H57" s="5">
        <v>1</v>
      </c>
      <c r="I57" s="5">
        <v>4</v>
      </c>
      <c r="J57" s="5">
        <v>3</v>
      </c>
      <c r="K57" s="5">
        <v>1</v>
      </c>
      <c r="L57" s="5">
        <v>2</v>
      </c>
      <c r="M57" s="5" t="s">
        <v>128</v>
      </c>
      <c r="N57" s="5">
        <v>2</v>
      </c>
      <c r="O57" s="5">
        <v>1</v>
      </c>
      <c r="P57" s="5">
        <v>4</v>
      </c>
      <c r="Q57" s="5" t="s">
        <v>129</v>
      </c>
      <c r="R57" s="5">
        <v>5</v>
      </c>
      <c r="S57" s="5">
        <v>1</v>
      </c>
      <c r="T57" s="5">
        <v>4</v>
      </c>
      <c r="U57" s="5">
        <v>3</v>
      </c>
      <c r="V57" s="5">
        <v>2</v>
      </c>
      <c r="W57" s="5">
        <v>2</v>
      </c>
      <c r="X57" s="5">
        <v>1</v>
      </c>
      <c r="Y57" s="5">
        <v>4</v>
      </c>
      <c r="Z57" s="5" t="s">
        <v>130</v>
      </c>
      <c r="AA57" s="5">
        <v>2</v>
      </c>
      <c r="AB57" s="5">
        <v>5</v>
      </c>
      <c r="AC57" s="5">
        <v>3</v>
      </c>
      <c r="AD57" s="5">
        <v>2</v>
      </c>
      <c r="AE57" s="5">
        <v>1</v>
      </c>
      <c r="AF57" s="5">
        <v>1</v>
      </c>
      <c r="AG57" s="5">
        <v>1</v>
      </c>
      <c r="AH57" s="5" t="s">
        <v>131</v>
      </c>
      <c r="AI57" s="6" t="s">
        <v>132</v>
      </c>
    </row>
    <row r="58" spans="1:35" ht="12.75" hidden="1" x14ac:dyDescent="0.35">
      <c r="A58" s="37" t="s">
        <v>312</v>
      </c>
      <c r="B58" s="37" t="s">
        <v>314</v>
      </c>
      <c r="C58" s="1">
        <v>45664.641050925929</v>
      </c>
      <c r="D58" s="2" t="s">
        <v>133</v>
      </c>
      <c r="E58" s="2" t="s">
        <v>20</v>
      </c>
      <c r="F58" s="2">
        <v>3</v>
      </c>
      <c r="G58" s="2">
        <v>1</v>
      </c>
      <c r="H58" s="2">
        <v>0</v>
      </c>
      <c r="I58" s="2">
        <v>1</v>
      </c>
      <c r="J58" s="2">
        <v>1</v>
      </c>
      <c r="K58" s="2">
        <v>0</v>
      </c>
      <c r="L58" s="2">
        <v>0</v>
      </c>
      <c r="M58" s="2" t="s">
        <v>134</v>
      </c>
      <c r="N58" s="2">
        <v>2</v>
      </c>
      <c r="O58" s="2">
        <v>1</v>
      </c>
      <c r="P58" s="2">
        <v>2</v>
      </c>
      <c r="Q58" s="2"/>
      <c r="R58" s="2">
        <v>1</v>
      </c>
      <c r="S58" s="2">
        <v>1</v>
      </c>
      <c r="T58" s="2">
        <v>2</v>
      </c>
      <c r="U58" s="2">
        <v>1</v>
      </c>
      <c r="V58" s="2">
        <v>1</v>
      </c>
      <c r="W58" s="2">
        <v>1</v>
      </c>
      <c r="X58" s="2">
        <v>1</v>
      </c>
      <c r="Y58" s="2">
        <v>2</v>
      </c>
      <c r="Z58" s="2"/>
      <c r="AA58" s="2">
        <v>3</v>
      </c>
      <c r="AB58" s="2">
        <v>2</v>
      </c>
      <c r="AC58" s="2">
        <v>1</v>
      </c>
      <c r="AD58" s="2">
        <v>0</v>
      </c>
      <c r="AE58" s="2">
        <v>4</v>
      </c>
      <c r="AF58" s="2">
        <v>4</v>
      </c>
      <c r="AG58" s="2">
        <v>4</v>
      </c>
      <c r="AH58" s="2" t="s">
        <v>135</v>
      </c>
      <c r="AI58" s="3"/>
    </row>
    <row r="59" spans="1:35" ht="12.75" hidden="1" x14ac:dyDescent="0.35">
      <c r="A59" s="37" t="s">
        <v>312</v>
      </c>
      <c r="B59" s="37" t="s">
        <v>313</v>
      </c>
      <c r="C59" s="4">
        <v>45664.641373819446</v>
      </c>
      <c r="D59" s="5" t="s">
        <v>136</v>
      </c>
      <c r="E59" s="5" t="s">
        <v>20</v>
      </c>
      <c r="F59" s="5">
        <v>2</v>
      </c>
      <c r="G59" s="5">
        <v>2</v>
      </c>
      <c r="H59" s="5">
        <v>1</v>
      </c>
      <c r="I59" s="5">
        <v>0</v>
      </c>
      <c r="J59" s="5">
        <v>0</v>
      </c>
      <c r="K59" s="5">
        <v>0</v>
      </c>
      <c r="L59" s="5">
        <v>0</v>
      </c>
      <c r="M59" s="5"/>
      <c r="N59" s="5">
        <v>1</v>
      </c>
      <c r="O59" s="5">
        <v>2</v>
      </c>
      <c r="P59" s="5">
        <v>1</v>
      </c>
      <c r="Q59" s="5"/>
      <c r="R59" s="5">
        <v>2</v>
      </c>
      <c r="S59" s="5">
        <v>3</v>
      </c>
      <c r="T59" s="5">
        <v>1</v>
      </c>
      <c r="U59" s="5">
        <v>1</v>
      </c>
      <c r="V59" s="5">
        <v>1</v>
      </c>
      <c r="W59" s="5">
        <v>1</v>
      </c>
      <c r="X59" s="5">
        <v>3</v>
      </c>
      <c r="Y59" s="5">
        <v>1</v>
      </c>
      <c r="Z59" s="5"/>
      <c r="AA59" s="5">
        <v>2</v>
      </c>
      <c r="AB59" s="5">
        <v>3</v>
      </c>
      <c r="AC59" s="5">
        <v>1</v>
      </c>
      <c r="AD59" s="5">
        <v>0</v>
      </c>
      <c r="AE59" s="5">
        <v>4</v>
      </c>
      <c r="AF59" s="5">
        <v>2</v>
      </c>
      <c r="AG59" s="5">
        <v>2</v>
      </c>
      <c r="AH59" s="5"/>
      <c r="AI59" s="6"/>
    </row>
    <row r="60" spans="1:35" ht="12.75" hidden="1" x14ac:dyDescent="0.35">
      <c r="A60" s="37" t="s">
        <v>312</v>
      </c>
      <c r="B60" s="37" t="s">
        <v>313</v>
      </c>
      <c r="C60" s="1">
        <v>45664.641404942129</v>
      </c>
      <c r="D60" s="2" t="s">
        <v>63</v>
      </c>
      <c r="E60" s="2" t="s">
        <v>20</v>
      </c>
      <c r="F60" s="2">
        <v>2</v>
      </c>
      <c r="G60" s="2">
        <v>4</v>
      </c>
      <c r="H60" s="2">
        <v>0</v>
      </c>
      <c r="I60" s="2">
        <v>1</v>
      </c>
      <c r="J60" s="2">
        <v>4</v>
      </c>
      <c r="K60" s="2">
        <v>1</v>
      </c>
      <c r="L60" s="2">
        <v>0</v>
      </c>
      <c r="M60" s="2"/>
      <c r="N60" s="2">
        <v>2</v>
      </c>
      <c r="O60" s="2">
        <v>4</v>
      </c>
      <c r="P60" s="2">
        <v>1</v>
      </c>
      <c r="Q60" s="2"/>
      <c r="R60" s="2">
        <v>4</v>
      </c>
      <c r="S60" s="2">
        <v>1</v>
      </c>
      <c r="T60" s="2">
        <v>1</v>
      </c>
      <c r="U60" s="2">
        <v>4</v>
      </c>
      <c r="V60" s="2">
        <v>4</v>
      </c>
      <c r="W60" s="2">
        <v>2</v>
      </c>
      <c r="X60" s="2">
        <v>5</v>
      </c>
      <c r="Y60" s="2">
        <v>1</v>
      </c>
      <c r="Z60" s="2"/>
      <c r="AA60" s="2">
        <v>4</v>
      </c>
      <c r="AB60" s="2">
        <v>2</v>
      </c>
      <c r="AC60" s="2">
        <v>3</v>
      </c>
      <c r="AD60" s="2">
        <v>3</v>
      </c>
      <c r="AE60" s="2">
        <v>3</v>
      </c>
      <c r="AF60" s="2">
        <v>4</v>
      </c>
      <c r="AG60" s="2">
        <v>4</v>
      </c>
      <c r="AH60" s="2" t="s">
        <v>137</v>
      </c>
      <c r="AI60" s="3"/>
    </row>
    <row r="61" spans="1:35" ht="12.75" hidden="1" x14ac:dyDescent="0.35">
      <c r="A61" s="37" t="s">
        <v>312</v>
      </c>
      <c r="B61" s="37" t="s">
        <v>311</v>
      </c>
      <c r="C61" s="4">
        <v>45664.641921111106</v>
      </c>
      <c r="D61" s="5" t="s">
        <v>138</v>
      </c>
      <c r="E61" s="5" t="s">
        <v>77</v>
      </c>
      <c r="F61" s="5">
        <v>1</v>
      </c>
      <c r="G61" s="5">
        <v>1</v>
      </c>
      <c r="H61" s="5">
        <v>0</v>
      </c>
      <c r="I61" s="5">
        <v>0</v>
      </c>
      <c r="J61" s="5">
        <v>0</v>
      </c>
      <c r="K61" s="5">
        <v>0</v>
      </c>
      <c r="L61" s="5">
        <v>0</v>
      </c>
      <c r="M61" s="5" t="s">
        <v>139</v>
      </c>
      <c r="N61" s="5">
        <v>3</v>
      </c>
      <c r="O61" s="5">
        <v>1</v>
      </c>
      <c r="P61" s="5">
        <v>1</v>
      </c>
      <c r="Q61" s="5" t="s">
        <v>140</v>
      </c>
      <c r="R61" s="5">
        <v>1</v>
      </c>
      <c r="S61" s="5">
        <v>1</v>
      </c>
      <c r="T61" s="5">
        <v>1</v>
      </c>
      <c r="U61" s="5">
        <v>2</v>
      </c>
      <c r="V61" s="5">
        <v>1</v>
      </c>
      <c r="W61" s="5">
        <v>2</v>
      </c>
      <c r="X61" s="5">
        <v>1</v>
      </c>
      <c r="Y61" s="5">
        <v>1</v>
      </c>
      <c r="Z61" s="5" t="s">
        <v>141</v>
      </c>
      <c r="AA61" s="5">
        <v>3</v>
      </c>
      <c r="AB61" s="5">
        <v>2</v>
      </c>
      <c r="AC61" s="5">
        <v>0</v>
      </c>
      <c r="AD61" s="5">
        <v>1</v>
      </c>
      <c r="AE61" s="5">
        <v>4</v>
      </c>
      <c r="AF61" s="5">
        <v>3</v>
      </c>
      <c r="AG61" s="5">
        <v>3</v>
      </c>
      <c r="AH61" s="5"/>
      <c r="AI61" s="6"/>
    </row>
    <row r="62" spans="1:35" ht="12.75" hidden="1" x14ac:dyDescent="0.35">
      <c r="A62" s="37" t="s">
        <v>312</v>
      </c>
      <c r="B62" s="37" t="s">
        <v>314</v>
      </c>
      <c r="C62" s="1">
        <v>45664.641967662035</v>
      </c>
      <c r="D62" s="2" t="s">
        <v>33</v>
      </c>
      <c r="E62" s="2" t="s">
        <v>20</v>
      </c>
      <c r="F62" s="2">
        <v>3</v>
      </c>
      <c r="G62" s="2">
        <v>3</v>
      </c>
      <c r="H62" s="2">
        <v>1</v>
      </c>
      <c r="I62" s="2">
        <v>2</v>
      </c>
      <c r="J62" s="2">
        <v>4</v>
      </c>
      <c r="K62" s="2">
        <v>5</v>
      </c>
      <c r="L62" s="2">
        <v>0</v>
      </c>
      <c r="M62" s="2"/>
      <c r="N62" s="2">
        <v>2</v>
      </c>
      <c r="O62" s="2">
        <v>3</v>
      </c>
      <c r="P62" s="2">
        <v>1</v>
      </c>
      <c r="Q62" s="2"/>
      <c r="R62" s="2">
        <v>3</v>
      </c>
      <c r="S62" s="2">
        <v>2</v>
      </c>
      <c r="T62" s="2">
        <v>3</v>
      </c>
      <c r="U62" s="2">
        <v>5</v>
      </c>
      <c r="V62" s="2">
        <v>4</v>
      </c>
      <c r="W62" s="2">
        <v>2</v>
      </c>
      <c r="X62" s="2">
        <v>4</v>
      </c>
      <c r="Y62" s="2">
        <v>1</v>
      </c>
      <c r="Z62" s="2"/>
      <c r="AA62" s="2">
        <v>5</v>
      </c>
      <c r="AB62" s="2">
        <v>4</v>
      </c>
      <c r="AC62" s="2">
        <v>3</v>
      </c>
      <c r="AD62" s="2">
        <v>5</v>
      </c>
      <c r="AE62" s="2">
        <v>5</v>
      </c>
      <c r="AF62" s="2">
        <v>5</v>
      </c>
      <c r="AG62" s="2">
        <v>5</v>
      </c>
      <c r="AH62" s="2"/>
      <c r="AI62" s="3"/>
    </row>
    <row r="63" spans="1:35" ht="12.75" hidden="1" x14ac:dyDescent="0.35">
      <c r="A63" s="37" t="s">
        <v>312</v>
      </c>
      <c r="B63" s="37" t="s">
        <v>315</v>
      </c>
      <c r="C63" s="4">
        <v>45664.642056006945</v>
      </c>
      <c r="D63" s="5" t="s">
        <v>75</v>
      </c>
      <c r="E63" s="5" t="s">
        <v>17</v>
      </c>
      <c r="F63" s="5">
        <v>4</v>
      </c>
      <c r="G63" s="5">
        <v>3</v>
      </c>
      <c r="H63" s="5">
        <v>0</v>
      </c>
      <c r="I63" s="5">
        <v>0</v>
      </c>
      <c r="J63" s="5">
        <v>2</v>
      </c>
      <c r="K63" s="5">
        <v>1</v>
      </c>
      <c r="L63" s="5">
        <v>2</v>
      </c>
      <c r="M63" s="5" t="s">
        <v>37</v>
      </c>
      <c r="N63" s="5">
        <v>4</v>
      </c>
      <c r="O63" s="5">
        <v>2</v>
      </c>
      <c r="P63" s="5">
        <v>4</v>
      </c>
      <c r="Q63" s="5"/>
      <c r="R63" s="5">
        <v>4</v>
      </c>
      <c r="S63" s="5">
        <v>2</v>
      </c>
      <c r="T63" s="5">
        <v>2</v>
      </c>
      <c r="U63" s="5">
        <v>4</v>
      </c>
      <c r="V63" s="5">
        <v>2</v>
      </c>
      <c r="W63" s="5">
        <v>4</v>
      </c>
      <c r="X63" s="5">
        <v>3</v>
      </c>
      <c r="Y63" s="5">
        <v>4</v>
      </c>
      <c r="Z63" s="5"/>
      <c r="AA63" s="5">
        <v>4</v>
      </c>
      <c r="AB63" s="5">
        <v>3</v>
      </c>
      <c r="AC63" s="5">
        <v>3</v>
      </c>
      <c r="AD63" s="5">
        <v>3</v>
      </c>
      <c r="AE63" s="5">
        <v>3</v>
      </c>
      <c r="AF63" s="5">
        <v>4</v>
      </c>
      <c r="AG63" s="5">
        <v>3</v>
      </c>
      <c r="AH63" s="5">
        <v>7</v>
      </c>
      <c r="AI63" s="6" t="s">
        <v>142</v>
      </c>
    </row>
    <row r="64" spans="1:35" ht="12.75" hidden="1" x14ac:dyDescent="0.35">
      <c r="A64" s="37" t="s">
        <v>312</v>
      </c>
      <c r="B64" s="37" t="s">
        <v>311</v>
      </c>
      <c r="C64" s="1">
        <v>45664.642103460646</v>
      </c>
      <c r="D64" s="2" t="s">
        <v>143</v>
      </c>
      <c r="E64" s="2" t="s">
        <v>77</v>
      </c>
      <c r="F64" s="2">
        <v>1</v>
      </c>
      <c r="G64" s="2">
        <v>1</v>
      </c>
      <c r="H64" s="2">
        <v>1</v>
      </c>
      <c r="I64" s="2">
        <v>0</v>
      </c>
      <c r="J64" s="2">
        <v>3</v>
      </c>
      <c r="K64" s="2">
        <v>0</v>
      </c>
      <c r="L64" s="2">
        <v>0</v>
      </c>
      <c r="M64" s="2"/>
      <c r="N64" s="2">
        <v>1</v>
      </c>
      <c r="O64" s="2">
        <v>1</v>
      </c>
      <c r="P64" s="2">
        <v>1</v>
      </c>
      <c r="Q64" s="2"/>
      <c r="R64" s="2">
        <v>1</v>
      </c>
      <c r="S64" s="2">
        <v>3</v>
      </c>
      <c r="T64" s="2">
        <v>1</v>
      </c>
      <c r="U64" s="2">
        <v>1</v>
      </c>
      <c r="V64" s="2">
        <v>1</v>
      </c>
      <c r="W64" s="2">
        <v>2</v>
      </c>
      <c r="X64" s="2">
        <v>1</v>
      </c>
      <c r="Y64" s="2">
        <v>1</v>
      </c>
      <c r="Z64" s="2"/>
      <c r="AA64" s="2">
        <v>3</v>
      </c>
      <c r="AB64" s="2">
        <v>4</v>
      </c>
      <c r="AC64" s="2">
        <v>0</v>
      </c>
      <c r="AD64" s="2">
        <v>0</v>
      </c>
      <c r="AE64" s="2">
        <v>5</v>
      </c>
      <c r="AF64" s="2">
        <v>2</v>
      </c>
      <c r="AG64" s="2">
        <v>3</v>
      </c>
      <c r="AH64" s="2" t="s">
        <v>144</v>
      </c>
      <c r="AI64" s="3" t="s">
        <v>145</v>
      </c>
    </row>
    <row r="65" spans="1:35" ht="12.75" hidden="1" x14ac:dyDescent="0.35">
      <c r="A65" s="37" t="s">
        <v>312</v>
      </c>
      <c r="B65" s="37" t="s">
        <v>313</v>
      </c>
      <c r="C65" s="4">
        <v>45664.642117719908</v>
      </c>
      <c r="D65" s="5" t="s">
        <v>45</v>
      </c>
      <c r="E65" s="5" t="s">
        <v>17</v>
      </c>
      <c r="F65" s="5">
        <v>2</v>
      </c>
      <c r="G65" s="5">
        <v>1</v>
      </c>
      <c r="H65" s="5">
        <v>1</v>
      </c>
      <c r="I65" s="5">
        <v>0</v>
      </c>
      <c r="J65" s="5">
        <v>1</v>
      </c>
      <c r="K65" s="5">
        <v>0</v>
      </c>
      <c r="L65" s="5">
        <v>2</v>
      </c>
      <c r="M65" s="5" t="s">
        <v>37</v>
      </c>
      <c r="N65" s="5">
        <v>4</v>
      </c>
      <c r="O65" s="5">
        <v>3</v>
      </c>
      <c r="P65" s="5">
        <v>3</v>
      </c>
      <c r="Q65" s="5" t="s">
        <v>104</v>
      </c>
      <c r="R65" s="5">
        <v>1</v>
      </c>
      <c r="S65" s="5">
        <v>1</v>
      </c>
      <c r="T65" s="5">
        <v>2</v>
      </c>
      <c r="U65" s="5">
        <v>2</v>
      </c>
      <c r="V65" s="5">
        <v>1</v>
      </c>
      <c r="W65" s="5">
        <v>4</v>
      </c>
      <c r="X65" s="5">
        <v>3</v>
      </c>
      <c r="Y65" s="5">
        <v>3</v>
      </c>
      <c r="Z65" s="5" t="s">
        <v>104</v>
      </c>
      <c r="AA65" s="5">
        <v>4</v>
      </c>
      <c r="AB65" s="5">
        <v>1</v>
      </c>
      <c r="AC65" s="5">
        <v>0</v>
      </c>
      <c r="AD65" s="5">
        <v>1</v>
      </c>
      <c r="AE65" s="5">
        <v>3</v>
      </c>
      <c r="AF65" s="5">
        <v>3</v>
      </c>
      <c r="AG65" s="5">
        <v>3</v>
      </c>
      <c r="AH65" s="5" t="s">
        <v>146</v>
      </c>
      <c r="AI65" s="6"/>
    </row>
    <row r="66" spans="1:35" ht="12.75" hidden="1" x14ac:dyDescent="0.35">
      <c r="A66" s="37" t="s">
        <v>312</v>
      </c>
      <c r="B66" s="37" t="s">
        <v>314</v>
      </c>
      <c r="C66" s="1">
        <v>45664.642326331013</v>
      </c>
      <c r="D66" s="2" t="s">
        <v>29</v>
      </c>
      <c r="E66" s="2" t="s">
        <v>20</v>
      </c>
      <c r="F66" s="2">
        <v>3</v>
      </c>
      <c r="G66" s="2">
        <v>1</v>
      </c>
      <c r="H66" s="2">
        <v>0</v>
      </c>
      <c r="I66" s="2">
        <v>0</v>
      </c>
      <c r="J66" s="2">
        <v>0</v>
      </c>
      <c r="K66" s="2">
        <v>0</v>
      </c>
      <c r="L66" s="2">
        <v>2</v>
      </c>
      <c r="M66" s="2" t="s">
        <v>147</v>
      </c>
      <c r="N66" s="2">
        <v>1</v>
      </c>
      <c r="O66" s="2">
        <v>1</v>
      </c>
      <c r="P66" s="2">
        <v>3</v>
      </c>
      <c r="Q66" s="2"/>
      <c r="R66" s="2">
        <v>1</v>
      </c>
      <c r="S66" s="2">
        <v>4</v>
      </c>
      <c r="T66" s="2">
        <v>1</v>
      </c>
      <c r="U66" s="2">
        <v>1</v>
      </c>
      <c r="V66" s="2">
        <v>1</v>
      </c>
      <c r="W66" s="2">
        <v>1</v>
      </c>
      <c r="X66" s="2">
        <v>1</v>
      </c>
      <c r="Y66" s="2">
        <v>1</v>
      </c>
      <c r="Z66" s="2"/>
      <c r="AA66" s="2">
        <v>1</v>
      </c>
      <c r="AB66" s="2">
        <v>3</v>
      </c>
      <c r="AC66" s="2">
        <v>0</v>
      </c>
      <c r="AD66" s="2">
        <v>2</v>
      </c>
      <c r="AE66" s="2">
        <v>3</v>
      </c>
      <c r="AF66" s="2">
        <v>2</v>
      </c>
      <c r="AG66" s="2">
        <v>3</v>
      </c>
      <c r="AH66" s="2"/>
      <c r="AI66" s="3"/>
    </row>
    <row r="67" spans="1:35" ht="12.75" hidden="1" x14ac:dyDescent="0.35">
      <c r="A67" s="37" t="s">
        <v>312</v>
      </c>
      <c r="B67" s="37" t="s">
        <v>314</v>
      </c>
      <c r="C67" s="4">
        <v>45664.642418171294</v>
      </c>
      <c r="D67" s="5" t="s">
        <v>74</v>
      </c>
      <c r="E67" s="5" t="s">
        <v>20</v>
      </c>
      <c r="F67" s="5">
        <v>3</v>
      </c>
      <c r="G67" s="5">
        <v>1</v>
      </c>
      <c r="H67" s="5">
        <v>1</v>
      </c>
      <c r="I67" s="5">
        <v>0</v>
      </c>
      <c r="J67" s="5">
        <v>0</v>
      </c>
      <c r="K67" s="5">
        <v>0</v>
      </c>
      <c r="L67" s="5">
        <v>0</v>
      </c>
      <c r="M67" s="5"/>
      <c r="N67" s="5">
        <v>2</v>
      </c>
      <c r="O67" s="5">
        <v>1</v>
      </c>
      <c r="P67" s="5">
        <v>2</v>
      </c>
      <c r="Q67" s="5"/>
      <c r="R67" s="5">
        <v>1</v>
      </c>
      <c r="S67" s="5">
        <v>2</v>
      </c>
      <c r="T67" s="5">
        <v>1</v>
      </c>
      <c r="U67" s="5">
        <v>2</v>
      </c>
      <c r="V67" s="5">
        <v>1</v>
      </c>
      <c r="W67" s="5">
        <v>2</v>
      </c>
      <c r="X67" s="5">
        <v>1</v>
      </c>
      <c r="Y67" s="5">
        <v>3</v>
      </c>
      <c r="Z67" s="5"/>
      <c r="AA67" s="5">
        <v>4</v>
      </c>
      <c r="AB67" s="5">
        <v>2</v>
      </c>
      <c r="AC67" s="5">
        <v>1</v>
      </c>
      <c r="AD67" s="5">
        <v>2</v>
      </c>
      <c r="AE67" s="5">
        <v>4</v>
      </c>
      <c r="AF67" s="5">
        <v>4</v>
      </c>
      <c r="AG67" s="5">
        <v>4</v>
      </c>
      <c r="AH67" s="5"/>
      <c r="AI67" s="6"/>
    </row>
    <row r="68" spans="1:35" ht="12.75" hidden="1" x14ac:dyDescent="0.35">
      <c r="A68" s="37" t="s">
        <v>312</v>
      </c>
      <c r="B68" s="37" t="s">
        <v>314</v>
      </c>
      <c r="C68" s="1">
        <v>45664.642831840276</v>
      </c>
      <c r="D68" s="2" t="s">
        <v>28</v>
      </c>
      <c r="E68" s="2" t="s">
        <v>20</v>
      </c>
      <c r="F68" s="2">
        <v>3</v>
      </c>
      <c r="G68" s="2" t="s">
        <v>56</v>
      </c>
      <c r="H68" s="2">
        <v>2</v>
      </c>
      <c r="I68" s="2">
        <v>2</v>
      </c>
      <c r="J68" s="2">
        <v>2</v>
      </c>
      <c r="K68" s="2">
        <v>2</v>
      </c>
      <c r="L68" s="2">
        <v>0</v>
      </c>
      <c r="M68" s="2"/>
      <c r="N68" s="2">
        <v>3</v>
      </c>
      <c r="O68" s="2">
        <v>3</v>
      </c>
      <c r="P68" s="2">
        <v>1</v>
      </c>
      <c r="Q68" s="2"/>
      <c r="R68" s="2">
        <v>3</v>
      </c>
      <c r="S68" s="2">
        <v>1</v>
      </c>
      <c r="T68" s="2">
        <v>3</v>
      </c>
      <c r="U68" s="2">
        <v>3</v>
      </c>
      <c r="V68" s="2">
        <v>3</v>
      </c>
      <c r="W68" s="2">
        <v>3</v>
      </c>
      <c r="X68" s="2">
        <v>3</v>
      </c>
      <c r="Y68" s="2">
        <v>1</v>
      </c>
      <c r="Z68" s="2"/>
      <c r="AA68" s="2">
        <v>5</v>
      </c>
      <c r="AB68" s="2">
        <v>5</v>
      </c>
      <c r="AC68" s="2">
        <v>3</v>
      </c>
      <c r="AD68" s="2">
        <v>5</v>
      </c>
      <c r="AE68" s="2">
        <v>5</v>
      </c>
      <c r="AF68" s="2">
        <v>5</v>
      </c>
      <c r="AG68" s="2">
        <v>5</v>
      </c>
      <c r="AH68" s="2" t="s">
        <v>148</v>
      </c>
      <c r="AI68" s="3"/>
    </row>
    <row r="69" spans="1:35" ht="12.75" hidden="1" x14ac:dyDescent="0.35">
      <c r="A69" s="37" t="s">
        <v>312</v>
      </c>
      <c r="B69" s="37" t="s">
        <v>311</v>
      </c>
      <c r="C69" s="4">
        <v>45664.643257638891</v>
      </c>
      <c r="D69" s="5" t="s">
        <v>115</v>
      </c>
      <c r="E69" s="5" t="s">
        <v>17</v>
      </c>
      <c r="F69" s="5">
        <v>1</v>
      </c>
      <c r="G69" s="5">
        <v>3</v>
      </c>
      <c r="H69" s="5">
        <v>1</v>
      </c>
      <c r="I69" s="5">
        <v>3</v>
      </c>
      <c r="J69" s="5">
        <v>4</v>
      </c>
      <c r="K69" s="5">
        <v>2</v>
      </c>
      <c r="L69" s="5">
        <v>0</v>
      </c>
      <c r="M69" s="5"/>
      <c r="N69" s="5">
        <v>5</v>
      </c>
      <c r="O69" s="5">
        <v>2</v>
      </c>
      <c r="P69" s="5">
        <v>3</v>
      </c>
      <c r="Q69" s="5"/>
      <c r="R69" s="5">
        <v>4</v>
      </c>
      <c r="S69" s="5">
        <v>5</v>
      </c>
      <c r="T69" s="5">
        <v>3</v>
      </c>
      <c r="U69" s="5">
        <v>2</v>
      </c>
      <c r="V69" s="5">
        <v>3</v>
      </c>
      <c r="W69" s="5">
        <v>3</v>
      </c>
      <c r="X69" s="5">
        <v>2</v>
      </c>
      <c r="Y69" s="5">
        <v>1</v>
      </c>
      <c r="Z69" s="5"/>
      <c r="AA69" s="5">
        <v>2</v>
      </c>
      <c r="AB69" s="5">
        <v>2</v>
      </c>
      <c r="AC69" s="5">
        <v>3</v>
      </c>
      <c r="AD69" s="5">
        <v>2</v>
      </c>
      <c r="AE69" s="5">
        <v>5</v>
      </c>
      <c r="AF69" s="5">
        <v>5</v>
      </c>
      <c r="AG69" s="5">
        <v>5</v>
      </c>
      <c r="AH69" s="5"/>
      <c r="AI69" s="6"/>
    </row>
    <row r="70" spans="1:35" ht="12.75" hidden="1" x14ac:dyDescent="0.35">
      <c r="A70" s="37" t="s">
        <v>312</v>
      </c>
      <c r="B70" s="37" t="s">
        <v>315</v>
      </c>
      <c r="C70" s="1">
        <v>45664.643317430557</v>
      </c>
      <c r="D70" s="2" t="s">
        <v>91</v>
      </c>
      <c r="E70" s="2" t="s">
        <v>20</v>
      </c>
      <c r="F70" s="2">
        <v>4</v>
      </c>
      <c r="G70" s="2">
        <v>4</v>
      </c>
      <c r="H70" s="2">
        <v>1</v>
      </c>
      <c r="I70" s="2">
        <v>3</v>
      </c>
      <c r="J70" s="2">
        <v>4</v>
      </c>
      <c r="K70" s="2">
        <v>2</v>
      </c>
      <c r="L70" s="2">
        <v>0</v>
      </c>
      <c r="M70" s="2" t="s">
        <v>149</v>
      </c>
      <c r="N70" s="2">
        <v>1</v>
      </c>
      <c r="O70" s="2">
        <v>3</v>
      </c>
      <c r="P70" s="2">
        <v>3</v>
      </c>
      <c r="Q70" s="2"/>
      <c r="R70" s="2">
        <v>4</v>
      </c>
      <c r="S70" s="2">
        <v>2</v>
      </c>
      <c r="T70" s="2">
        <v>4</v>
      </c>
      <c r="U70" s="2">
        <v>5</v>
      </c>
      <c r="V70" s="2">
        <v>2</v>
      </c>
      <c r="W70" s="2">
        <v>2</v>
      </c>
      <c r="X70" s="2">
        <v>3</v>
      </c>
      <c r="Y70" s="2">
        <v>3</v>
      </c>
      <c r="Z70" s="2"/>
      <c r="AA70" s="2">
        <v>2</v>
      </c>
      <c r="AB70" s="2">
        <v>3</v>
      </c>
      <c r="AC70" s="2">
        <v>4</v>
      </c>
      <c r="AD70" s="2">
        <v>3</v>
      </c>
      <c r="AE70" s="2">
        <v>2</v>
      </c>
      <c r="AF70" s="2">
        <v>2</v>
      </c>
      <c r="AG70" s="2">
        <v>2</v>
      </c>
      <c r="AH70" s="2" t="s">
        <v>150</v>
      </c>
      <c r="AI70" s="3"/>
    </row>
    <row r="71" spans="1:35" ht="12.75" hidden="1" x14ac:dyDescent="0.35">
      <c r="A71" s="37" t="s">
        <v>312</v>
      </c>
      <c r="B71" s="37" t="s">
        <v>314</v>
      </c>
      <c r="C71" s="4">
        <v>45664.643382719907</v>
      </c>
      <c r="D71" s="5" t="s">
        <v>107</v>
      </c>
      <c r="E71" s="5" t="s">
        <v>20</v>
      </c>
      <c r="F71" s="5">
        <v>3</v>
      </c>
      <c r="G71" s="5">
        <v>3</v>
      </c>
      <c r="H71" s="5">
        <v>2</v>
      </c>
      <c r="I71" s="5">
        <v>3</v>
      </c>
      <c r="J71" s="5">
        <v>4</v>
      </c>
      <c r="K71" s="5">
        <v>2</v>
      </c>
      <c r="L71" s="5">
        <v>2</v>
      </c>
      <c r="M71" s="5" t="s">
        <v>151</v>
      </c>
      <c r="N71" s="5">
        <v>1</v>
      </c>
      <c r="O71" s="5">
        <v>2</v>
      </c>
      <c r="P71" s="5">
        <v>3</v>
      </c>
      <c r="Q71" s="5"/>
      <c r="R71" s="5">
        <v>3</v>
      </c>
      <c r="S71" s="5">
        <v>2</v>
      </c>
      <c r="T71" s="5">
        <v>3</v>
      </c>
      <c r="U71" s="5">
        <v>3</v>
      </c>
      <c r="V71" s="5">
        <v>1</v>
      </c>
      <c r="W71" s="5">
        <v>1</v>
      </c>
      <c r="X71" s="5">
        <v>2</v>
      </c>
      <c r="Y71" s="5">
        <v>3</v>
      </c>
      <c r="Z71" s="5" t="s">
        <v>152</v>
      </c>
      <c r="AA71" s="5">
        <v>4</v>
      </c>
      <c r="AB71" s="5">
        <v>2</v>
      </c>
      <c r="AC71" s="5">
        <v>3</v>
      </c>
      <c r="AD71" s="5">
        <v>3</v>
      </c>
      <c r="AE71" s="5">
        <v>4</v>
      </c>
      <c r="AF71" s="5">
        <v>4</v>
      </c>
      <c r="AG71" s="5">
        <v>4</v>
      </c>
      <c r="AH71" s="5" t="s">
        <v>153</v>
      </c>
      <c r="AI71" s="6"/>
    </row>
    <row r="72" spans="1:35" ht="12.75" hidden="1" x14ac:dyDescent="0.35">
      <c r="A72" s="37" t="s">
        <v>312</v>
      </c>
      <c r="B72" s="37" t="s">
        <v>315</v>
      </c>
      <c r="C72" s="1">
        <v>45664.643437488427</v>
      </c>
      <c r="D72" s="2" t="s">
        <v>44</v>
      </c>
      <c r="E72" s="2" t="s">
        <v>20</v>
      </c>
      <c r="F72" s="2">
        <v>4</v>
      </c>
      <c r="G72" s="2">
        <v>3</v>
      </c>
      <c r="H72" s="2">
        <v>0</v>
      </c>
      <c r="I72" s="2">
        <v>1</v>
      </c>
      <c r="J72" s="2">
        <v>1</v>
      </c>
      <c r="K72" s="2">
        <v>1</v>
      </c>
      <c r="L72" s="2">
        <v>0</v>
      </c>
      <c r="M72" s="2"/>
      <c r="N72" s="2">
        <v>2</v>
      </c>
      <c r="O72" s="2">
        <v>2</v>
      </c>
      <c r="P72" s="2">
        <v>1</v>
      </c>
      <c r="Q72" s="2"/>
      <c r="R72" s="2">
        <v>2</v>
      </c>
      <c r="S72" s="2">
        <v>1</v>
      </c>
      <c r="T72" s="2">
        <v>2</v>
      </c>
      <c r="U72" s="2">
        <v>2</v>
      </c>
      <c r="V72" s="2">
        <v>2</v>
      </c>
      <c r="W72" s="2">
        <v>2</v>
      </c>
      <c r="X72" s="2">
        <v>3</v>
      </c>
      <c r="Y72" s="2">
        <v>1</v>
      </c>
      <c r="Z72" s="2" t="s">
        <v>154</v>
      </c>
      <c r="AA72" s="2">
        <v>4</v>
      </c>
      <c r="AB72" s="2">
        <v>3</v>
      </c>
      <c r="AC72" s="2">
        <v>1</v>
      </c>
      <c r="AD72" s="2">
        <v>2</v>
      </c>
      <c r="AE72" s="2">
        <v>2</v>
      </c>
      <c r="AF72" s="2">
        <v>2</v>
      </c>
      <c r="AG72" s="2">
        <v>3</v>
      </c>
      <c r="AH72" s="2"/>
      <c r="AI72" s="3"/>
    </row>
    <row r="73" spans="1:35" ht="12.75" hidden="1" x14ac:dyDescent="0.35">
      <c r="A73" s="37" t="s">
        <v>312</v>
      </c>
      <c r="B73" s="37" t="s">
        <v>314</v>
      </c>
      <c r="C73" s="4">
        <v>45664.643623356482</v>
      </c>
      <c r="D73" s="5" t="s">
        <v>39</v>
      </c>
      <c r="E73" s="5" t="s">
        <v>20</v>
      </c>
      <c r="F73" s="5">
        <v>3</v>
      </c>
      <c r="G73" s="5">
        <v>3</v>
      </c>
      <c r="H73" s="5">
        <v>2</v>
      </c>
      <c r="I73" s="5">
        <v>3</v>
      </c>
      <c r="J73" s="5">
        <v>3</v>
      </c>
      <c r="K73" s="5">
        <v>1</v>
      </c>
      <c r="L73" s="5">
        <v>0</v>
      </c>
      <c r="M73" s="5" t="s">
        <v>112</v>
      </c>
      <c r="N73" s="5">
        <v>2</v>
      </c>
      <c r="O73" s="5">
        <v>3</v>
      </c>
      <c r="P73" s="5">
        <v>3</v>
      </c>
      <c r="Q73" s="5"/>
      <c r="R73" s="5">
        <v>2</v>
      </c>
      <c r="S73" s="5">
        <v>2</v>
      </c>
      <c r="T73" s="5">
        <v>2</v>
      </c>
      <c r="U73" s="5">
        <v>2</v>
      </c>
      <c r="V73" s="5">
        <v>1</v>
      </c>
      <c r="W73" s="5">
        <v>2</v>
      </c>
      <c r="X73" s="5">
        <v>2</v>
      </c>
      <c r="Y73" s="5">
        <v>2</v>
      </c>
      <c r="Z73" s="5"/>
      <c r="AA73" s="5">
        <v>3</v>
      </c>
      <c r="AB73" s="5">
        <v>1</v>
      </c>
      <c r="AC73" s="5">
        <v>1</v>
      </c>
      <c r="AD73" s="5">
        <v>1</v>
      </c>
      <c r="AE73" s="5">
        <v>2</v>
      </c>
      <c r="AF73" s="5">
        <v>2</v>
      </c>
      <c r="AG73" s="5">
        <v>3</v>
      </c>
      <c r="AH73" s="5"/>
      <c r="AI73" s="6"/>
    </row>
    <row r="74" spans="1:35" ht="12.75" hidden="1" x14ac:dyDescent="0.35">
      <c r="A74" s="37" t="s">
        <v>312</v>
      </c>
      <c r="B74" s="37" t="s">
        <v>314</v>
      </c>
      <c r="C74" s="1">
        <v>45664.643815254633</v>
      </c>
      <c r="D74" s="2" t="s">
        <v>42</v>
      </c>
      <c r="E74" s="2" t="s">
        <v>20</v>
      </c>
      <c r="F74" s="2">
        <v>3</v>
      </c>
      <c r="G74" s="2">
        <v>3</v>
      </c>
      <c r="H74" s="2">
        <v>1</v>
      </c>
      <c r="I74" s="2">
        <v>4</v>
      </c>
      <c r="J74" s="2">
        <v>3</v>
      </c>
      <c r="K74" s="2">
        <v>1</v>
      </c>
      <c r="L74" s="2">
        <v>0</v>
      </c>
      <c r="M74" s="2"/>
      <c r="N74" s="2">
        <v>3</v>
      </c>
      <c r="O74" s="2">
        <v>2</v>
      </c>
      <c r="P74" s="2">
        <v>2</v>
      </c>
      <c r="Q74" s="2" t="s">
        <v>155</v>
      </c>
      <c r="R74" s="2">
        <v>3</v>
      </c>
      <c r="S74" s="2">
        <v>2</v>
      </c>
      <c r="T74" s="2">
        <v>3</v>
      </c>
      <c r="U74" s="2">
        <v>3</v>
      </c>
      <c r="V74" s="2">
        <v>2</v>
      </c>
      <c r="W74" s="2">
        <v>2</v>
      </c>
      <c r="X74" s="2">
        <v>3</v>
      </c>
      <c r="Y74" s="2">
        <v>2</v>
      </c>
      <c r="Z74" s="2"/>
      <c r="AA74" s="2">
        <v>4</v>
      </c>
      <c r="AB74" s="2">
        <v>2</v>
      </c>
      <c r="AC74" s="2">
        <v>2</v>
      </c>
      <c r="AD74" s="2">
        <v>4</v>
      </c>
      <c r="AE74" s="2">
        <v>4</v>
      </c>
      <c r="AF74" s="2">
        <v>4</v>
      </c>
      <c r="AG74" s="2">
        <v>3</v>
      </c>
      <c r="AH74" s="2"/>
      <c r="AI74" s="3"/>
    </row>
    <row r="75" spans="1:35" ht="12.75" hidden="1" x14ac:dyDescent="0.35">
      <c r="A75" s="37" t="s">
        <v>312</v>
      </c>
      <c r="B75" s="37" t="s">
        <v>313</v>
      </c>
      <c r="C75" s="4">
        <v>45664.643936018518</v>
      </c>
      <c r="D75" s="5" t="s">
        <v>156</v>
      </c>
      <c r="E75" s="5" t="s">
        <v>20</v>
      </c>
      <c r="F75" s="5">
        <v>2</v>
      </c>
      <c r="G75" s="5">
        <v>2</v>
      </c>
      <c r="H75" s="5">
        <v>0</v>
      </c>
      <c r="I75" s="5">
        <v>2</v>
      </c>
      <c r="J75" s="5">
        <v>2</v>
      </c>
      <c r="K75" s="5">
        <v>0</v>
      </c>
      <c r="L75" s="5">
        <v>0</v>
      </c>
      <c r="M75" s="5"/>
      <c r="N75" s="5">
        <v>3</v>
      </c>
      <c r="O75" s="5">
        <v>2</v>
      </c>
      <c r="P75" s="5">
        <v>1</v>
      </c>
      <c r="Q75" s="5"/>
      <c r="R75" s="5">
        <v>4</v>
      </c>
      <c r="S75" s="5">
        <v>1</v>
      </c>
      <c r="T75" s="5">
        <v>3</v>
      </c>
      <c r="U75" s="5">
        <v>4</v>
      </c>
      <c r="V75" s="5">
        <v>2</v>
      </c>
      <c r="W75" s="5">
        <v>3</v>
      </c>
      <c r="X75" s="5">
        <v>2</v>
      </c>
      <c r="Y75" s="5">
        <v>1</v>
      </c>
      <c r="Z75" s="5"/>
      <c r="AA75" s="5">
        <v>3</v>
      </c>
      <c r="AB75" s="5">
        <v>3</v>
      </c>
      <c r="AC75" s="5">
        <v>3</v>
      </c>
      <c r="AD75" s="5">
        <v>2</v>
      </c>
      <c r="AE75" s="5">
        <v>4</v>
      </c>
      <c r="AF75" s="5">
        <v>4</v>
      </c>
      <c r="AG75" s="5">
        <v>4</v>
      </c>
      <c r="AH75" s="5"/>
      <c r="AI75" s="6"/>
    </row>
    <row r="76" spans="1:35" ht="12.75" hidden="1" x14ac:dyDescent="0.35">
      <c r="A76" s="37" t="s">
        <v>312</v>
      </c>
      <c r="B76" s="37" t="s">
        <v>315</v>
      </c>
      <c r="C76" s="1">
        <v>45664.643952442129</v>
      </c>
      <c r="D76" s="2" t="s">
        <v>24</v>
      </c>
      <c r="E76" s="2" t="s">
        <v>20</v>
      </c>
      <c r="F76" s="2">
        <v>4</v>
      </c>
      <c r="G76" s="2">
        <v>1</v>
      </c>
      <c r="H76" s="2">
        <v>2</v>
      </c>
      <c r="I76" s="2">
        <v>1</v>
      </c>
      <c r="J76" s="2">
        <v>1</v>
      </c>
      <c r="K76" s="2">
        <v>0</v>
      </c>
      <c r="L76" s="2">
        <v>3</v>
      </c>
      <c r="M76" s="2" t="s">
        <v>157</v>
      </c>
      <c r="N76" s="2">
        <v>4</v>
      </c>
      <c r="O76" s="2">
        <v>1</v>
      </c>
      <c r="P76" s="2">
        <v>2</v>
      </c>
      <c r="Q76" s="2"/>
      <c r="R76" s="2">
        <v>4</v>
      </c>
      <c r="S76" s="2">
        <v>4</v>
      </c>
      <c r="T76" s="2">
        <v>2</v>
      </c>
      <c r="U76" s="2">
        <v>2</v>
      </c>
      <c r="V76" s="2">
        <v>1</v>
      </c>
      <c r="W76" s="2">
        <v>2</v>
      </c>
      <c r="X76" s="2">
        <v>2</v>
      </c>
      <c r="Y76" s="2">
        <v>3</v>
      </c>
      <c r="Z76" s="2"/>
      <c r="AA76" s="2">
        <v>3</v>
      </c>
      <c r="AB76" s="2">
        <v>3</v>
      </c>
      <c r="AC76" s="2">
        <v>3</v>
      </c>
      <c r="AD76" s="2">
        <v>2</v>
      </c>
      <c r="AE76" s="2">
        <v>2</v>
      </c>
      <c r="AF76" s="2">
        <v>3</v>
      </c>
      <c r="AG76" s="2">
        <v>3</v>
      </c>
      <c r="AH76" s="2" t="s">
        <v>158</v>
      </c>
      <c r="AI76" s="3"/>
    </row>
    <row r="77" spans="1:35" ht="12.75" hidden="1" x14ac:dyDescent="0.35">
      <c r="A77" s="37" t="s">
        <v>312</v>
      </c>
      <c r="B77" s="37" t="s">
        <v>315</v>
      </c>
      <c r="C77" s="4">
        <v>45664.64400915509</v>
      </c>
      <c r="D77" s="5" t="s">
        <v>33</v>
      </c>
      <c r="E77" s="5" t="s">
        <v>20</v>
      </c>
      <c r="F77" s="5">
        <v>4</v>
      </c>
      <c r="G77" s="5">
        <v>2</v>
      </c>
      <c r="H77" s="5">
        <v>1</v>
      </c>
      <c r="I77" s="5">
        <v>3</v>
      </c>
      <c r="J77" s="5">
        <v>2</v>
      </c>
      <c r="K77" s="5">
        <v>3</v>
      </c>
      <c r="L77" s="5">
        <v>0</v>
      </c>
      <c r="M77" s="5"/>
      <c r="N77" s="5">
        <v>3</v>
      </c>
      <c r="O77" s="5">
        <v>4</v>
      </c>
      <c r="P77" s="5">
        <v>1</v>
      </c>
      <c r="Q77" s="5"/>
      <c r="R77" s="5">
        <v>5</v>
      </c>
      <c r="S77" s="5">
        <v>2</v>
      </c>
      <c r="T77" s="5">
        <v>3</v>
      </c>
      <c r="U77" s="5">
        <v>5</v>
      </c>
      <c r="V77" s="5">
        <v>4</v>
      </c>
      <c r="W77" s="5">
        <v>2</v>
      </c>
      <c r="X77" s="5">
        <v>3</v>
      </c>
      <c r="Y77" s="5">
        <v>1</v>
      </c>
      <c r="Z77" s="5"/>
      <c r="AA77" s="5">
        <v>3</v>
      </c>
      <c r="AB77" s="5">
        <v>4</v>
      </c>
      <c r="AC77" s="5">
        <v>5</v>
      </c>
      <c r="AD77" s="5">
        <v>3</v>
      </c>
      <c r="AE77" s="5">
        <v>1</v>
      </c>
      <c r="AF77" s="5">
        <v>2</v>
      </c>
      <c r="AG77" s="5">
        <v>3</v>
      </c>
      <c r="AH77" s="5"/>
      <c r="AI77" s="6"/>
    </row>
    <row r="78" spans="1:35" ht="12.75" hidden="1" x14ac:dyDescent="0.35">
      <c r="A78" s="37" t="s">
        <v>312</v>
      </c>
      <c r="B78" s="37" t="s">
        <v>311</v>
      </c>
      <c r="C78" s="1">
        <v>45664.644022430555</v>
      </c>
      <c r="D78" s="2" t="s">
        <v>159</v>
      </c>
      <c r="E78" s="2" t="s">
        <v>17</v>
      </c>
      <c r="F78" s="2">
        <v>1</v>
      </c>
      <c r="G78" s="2">
        <v>3</v>
      </c>
      <c r="H78" s="2">
        <v>1</v>
      </c>
      <c r="I78" s="2">
        <v>1</v>
      </c>
      <c r="J78" s="2">
        <v>2</v>
      </c>
      <c r="K78" s="2">
        <v>2</v>
      </c>
      <c r="L78" s="2">
        <v>0</v>
      </c>
      <c r="M78" s="2"/>
      <c r="N78" s="2">
        <v>2</v>
      </c>
      <c r="O78" s="2">
        <v>1</v>
      </c>
      <c r="P78" s="2">
        <v>2</v>
      </c>
      <c r="Q78" s="2"/>
      <c r="R78" s="2">
        <v>4</v>
      </c>
      <c r="S78" s="2">
        <v>2</v>
      </c>
      <c r="T78" s="2">
        <v>2</v>
      </c>
      <c r="U78" s="2">
        <v>3</v>
      </c>
      <c r="V78" s="2">
        <v>3</v>
      </c>
      <c r="W78" s="2">
        <v>3</v>
      </c>
      <c r="X78" s="2">
        <v>1</v>
      </c>
      <c r="Y78" s="2">
        <v>2</v>
      </c>
      <c r="Z78" s="2"/>
      <c r="AA78" s="2">
        <v>2</v>
      </c>
      <c r="AB78" s="2">
        <v>2</v>
      </c>
      <c r="AC78" s="2">
        <v>3</v>
      </c>
      <c r="AD78" s="2">
        <v>2</v>
      </c>
      <c r="AE78" s="2">
        <v>4</v>
      </c>
      <c r="AF78" s="2">
        <v>3</v>
      </c>
      <c r="AG78" s="2">
        <v>5</v>
      </c>
      <c r="AH78" s="2" t="s">
        <v>160</v>
      </c>
      <c r="AI78" s="3"/>
    </row>
    <row r="79" spans="1:35" ht="12.75" hidden="1" x14ac:dyDescent="0.35">
      <c r="A79" s="37" t="s">
        <v>312</v>
      </c>
      <c r="B79" s="37" t="s">
        <v>311</v>
      </c>
      <c r="C79" s="4">
        <v>45664.644068923611</v>
      </c>
      <c r="D79" s="5" t="s">
        <v>161</v>
      </c>
      <c r="E79" s="5" t="s">
        <v>20</v>
      </c>
      <c r="F79" s="5">
        <v>1</v>
      </c>
      <c r="G79" s="5">
        <v>3</v>
      </c>
      <c r="H79" s="5">
        <v>1</v>
      </c>
      <c r="I79" s="5">
        <v>3</v>
      </c>
      <c r="J79" s="5">
        <v>2</v>
      </c>
      <c r="K79" s="5">
        <v>1</v>
      </c>
      <c r="L79" s="5">
        <v>0</v>
      </c>
      <c r="M79" s="5"/>
      <c r="N79" s="5">
        <v>1</v>
      </c>
      <c r="O79" s="5">
        <v>3</v>
      </c>
      <c r="P79" s="5">
        <v>1</v>
      </c>
      <c r="Q79" s="5"/>
      <c r="R79" s="5">
        <v>2</v>
      </c>
      <c r="S79" s="5">
        <v>1</v>
      </c>
      <c r="T79" s="5">
        <v>2</v>
      </c>
      <c r="U79" s="5">
        <v>3</v>
      </c>
      <c r="V79" s="5">
        <v>1</v>
      </c>
      <c r="W79" s="5">
        <v>1</v>
      </c>
      <c r="X79" s="5">
        <v>3</v>
      </c>
      <c r="Y79" s="5">
        <v>1</v>
      </c>
      <c r="Z79" s="5"/>
      <c r="AA79" s="5">
        <v>2</v>
      </c>
      <c r="AB79" s="5">
        <v>2</v>
      </c>
      <c r="AC79" s="5">
        <v>1</v>
      </c>
      <c r="AD79" s="5">
        <v>3</v>
      </c>
      <c r="AE79" s="5">
        <v>4</v>
      </c>
      <c r="AF79" s="5">
        <v>3</v>
      </c>
      <c r="AG79" s="5">
        <v>4</v>
      </c>
      <c r="AH79" s="5"/>
      <c r="AI79" s="6"/>
    </row>
    <row r="80" spans="1:35" ht="12.75" hidden="1" x14ac:dyDescent="0.35">
      <c r="A80" s="37" t="s">
        <v>312</v>
      </c>
      <c r="B80" s="37" t="s">
        <v>314</v>
      </c>
      <c r="C80" s="1">
        <v>45664.644286053241</v>
      </c>
      <c r="D80" s="2" t="s">
        <v>76</v>
      </c>
      <c r="E80" s="2" t="s">
        <v>77</v>
      </c>
      <c r="F80" s="2">
        <v>3</v>
      </c>
      <c r="G80" s="2">
        <v>2</v>
      </c>
      <c r="H80" s="2">
        <v>1</v>
      </c>
      <c r="I80" s="2">
        <v>0</v>
      </c>
      <c r="J80" s="2">
        <v>1</v>
      </c>
      <c r="K80" s="2">
        <v>0</v>
      </c>
      <c r="L80" s="2">
        <v>0</v>
      </c>
      <c r="M80" s="2" t="s">
        <v>162</v>
      </c>
      <c r="N80" s="2">
        <v>2</v>
      </c>
      <c r="O80" s="2">
        <v>1</v>
      </c>
      <c r="P80" s="2">
        <v>2</v>
      </c>
      <c r="Q80" s="2"/>
      <c r="R80" s="2">
        <v>3</v>
      </c>
      <c r="S80" s="2">
        <v>1</v>
      </c>
      <c r="T80" s="2">
        <v>1</v>
      </c>
      <c r="U80" s="2">
        <v>1</v>
      </c>
      <c r="V80" s="2">
        <v>1</v>
      </c>
      <c r="W80" s="2">
        <v>2</v>
      </c>
      <c r="X80" s="2">
        <v>1</v>
      </c>
      <c r="Y80" s="2">
        <v>2</v>
      </c>
      <c r="Z80" s="2"/>
      <c r="AA80" s="2">
        <v>2</v>
      </c>
      <c r="AB80" s="2">
        <v>2</v>
      </c>
      <c r="AC80" s="2">
        <v>0</v>
      </c>
      <c r="AD80" s="2">
        <v>1</v>
      </c>
      <c r="AE80" s="2">
        <v>4</v>
      </c>
      <c r="AF80" s="2">
        <v>3</v>
      </c>
      <c r="AG80" s="2">
        <v>3</v>
      </c>
      <c r="AH80" s="2" t="s">
        <v>163</v>
      </c>
      <c r="AI80" s="3"/>
    </row>
    <row r="81" spans="1:35" ht="12.75" hidden="1" x14ac:dyDescent="0.35">
      <c r="A81" s="37" t="s">
        <v>312</v>
      </c>
      <c r="B81" s="37" t="s">
        <v>314</v>
      </c>
      <c r="C81" s="4">
        <v>45664.644301249995</v>
      </c>
      <c r="D81" s="5" t="s">
        <v>81</v>
      </c>
      <c r="E81" s="5" t="s">
        <v>20</v>
      </c>
      <c r="F81" s="5">
        <v>3</v>
      </c>
      <c r="G81" s="5">
        <v>2</v>
      </c>
      <c r="H81" s="5">
        <v>2</v>
      </c>
      <c r="I81" s="5">
        <v>0</v>
      </c>
      <c r="J81" s="5">
        <v>0</v>
      </c>
      <c r="K81" s="5">
        <v>0</v>
      </c>
      <c r="L81" s="5">
        <v>0</v>
      </c>
      <c r="M81" s="5"/>
      <c r="N81" s="5">
        <v>1</v>
      </c>
      <c r="O81" s="5">
        <v>2</v>
      </c>
      <c r="P81" s="5">
        <v>1</v>
      </c>
      <c r="Q81" s="5"/>
      <c r="R81" s="5">
        <v>4</v>
      </c>
      <c r="S81" s="5">
        <v>4</v>
      </c>
      <c r="T81" s="5">
        <v>1</v>
      </c>
      <c r="U81" s="5">
        <v>1</v>
      </c>
      <c r="V81" s="5">
        <v>2</v>
      </c>
      <c r="W81" s="5">
        <v>1</v>
      </c>
      <c r="X81" s="5">
        <v>3</v>
      </c>
      <c r="Y81" s="5">
        <v>1</v>
      </c>
      <c r="Z81" s="5"/>
      <c r="AA81" s="5">
        <v>2</v>
      </c>
      <c r="AB81" s="5">
        <v>3</v>
      </c>
      <c r="AC81" s="5">
        <v>0</v>
      </c>
      <c r="AD81" s="5">
        <v>1</v>
      </c>
      <c r="AE81" s="5">
        <v>3</v>
      </c>
      <c r="AF81" s="5">
        <v>3</v>
      </c>
      <c r="AG81" s="5">
        <v>2</v>
      </c>
      <c r="AH81" s="5"/>
      <c r="AI81" s="6"/>
    </row>
    <row r="82" spans="1:35" ht="12.75" hidden="1" x14ac:dyDescent="0.35">
      <c r="A82" s="37" t="s">
        <v>312</v>
      </c>
      <c r="B82" s="37" t="s">
        <v>313</v>
      </c>
      <c r="C82" s="4">
        <v>45664.644386250002</v>
      </c>
      <c r="D82" s="5" t="s">
        <v>99</v>
      </c>
      <c r="E82" s="5" t="s">
        <v>77</v>
      </c>
      <c r="F82" s="5">
        <v>2</v>
      </c>
      <c r="G82" s="5">
        <v>5</v>
      </c>
      <c r="H82" s="5">
        <v>0</v>
      </c>
      <c r="I82" s="5">
        <v>0</v>
      </c>
      <c r="J82" s="5">
        <v>5</v>
      </c>
      <c r="K82" s="5">
        <v>3</v>
      </c>
      <c r="L82" s="5">
        <v>4</v>
      </c>
      <c r="M82" s="5" t="s">
        <v>165</v>
      </c>
      <c r="N82" s="5">
        <v>5</v>
      </c>
      <c r="O82" s="5">
        <v>4</v>
      </c>
      <c r="P82" s="5" t="s">
        <v>56</v>
      </c>
      <c r="Q82" s="5" t="s">
        <v>166</v>
      </c>
      <c r="R82" s="5">
        <v>5</v>
      </c>
      <c r="S82" s="5">
        <v>1</v>
      </c>
      <c r="T82" s="5">
        <v>1</v>
      </c>
      <c r="U82" s="5">
        <v>5</v>
      </c>
      <c r="V82" s="5">
        <v>4</v>
      </c>
      <c r="W82" s="5">
        <v>4</v>
      </c>
      <c r="X82" s="5">
        <v>4</v>
      </c>
      <c r="Y82" s="5">
        <v>1</v>
      </c>
      <c r="Z82" s="5" t="s">
        <v>167</v>
      </c>
      <c r="AA82" s="5">
        <v>5</v>
      </c>
      <c r="AB82" s="5">
        <v>5</v>
      </c>
      <c r="AC82" s="5">
        <v>4</v>
      </c>
      <c r="AD82" s="5">
        <v>4</v>
      </c>
      <c r="AE82" s="5">
        <v>5</v>
      </c>
      <c r="AF82" s="5">
        <v>5</v>
      </c>
      <c r="AG82" s="5">
        <v>5</v>
      </c>
      <c r="AH82" s="5" t="s">
        <v>168</v>
      </c>
      <c r="AI82" s="6"/>
    </row>
    <row r="83" spans="1:35" ht="12.75" hidden="1" x14ac:dyDescent="0.35">
      <c r="A83" s="37" t="s">
        <v>312</v>
      </c>
      <c r="B83" s="37" t="s">
        <v>314</v>
      </c>
      <c r="C83" s="1">
        <v>45664.644524722222</v>
      </c>
      <c r="D83" s="2" t="s">
        <v>49</v>
      </c>
      <c r="E83" s="2" t="s">
        <v>17</v>
      </c>
      <c r="F83" s="2">
        <v>3</v>
      </c>
      <c r="G83" s="2">
        <v>2</v>
      </c>
      <c r="H83" s="2">
        <v>0</v>
      </c>
      <c r="I83" s="2">
        <v>1</v>
      </c>
      <c r="J83" s="2">
        <v>0</v>
      </c>
      <c r="K83" s="2">
        <v>0</v>
      </c>
      <c r="L83" s="2">
        <v>0</v>
      </c>
      <c r="M83" s="2" t="s">
        <v>50</v>
      </c>
      <c r="N83" s="2">
        <v>2</v>
      </c>
      <c r="O83" s="2">
        <v>1</v>
      </c>
      <c r="P83" s="2">
        <v>1</v>
      </c>
      <c r="Q83" s="2" t="s">
        <v>51</v>
      </c>
      <c r="R83" s="2">
        <v>1</v>
      </c>
      <c r="S83" s="2">
        <v>1</v>
      </c>
      <c r="T83" s="2">
        <v>2</v>
      </c>
      <c r="U83" s="2">
        <v>1</v>
      </c>
      <c r="V83" s="2">
        <v>1</v>
      </c>
      <c r="W83" s="2">
        <v>2</v>
      </c>
      <c r="X83" s="2">
        <v>1</v>
      </c>
      <c r="Y83" s="2">
        <v>1</v>
      </c>
      <c r="Z83" s="2" t="s">
        <v>169</v>
      </c>
      <c r="AA83" s="2">
        <v>1</v>
      </c>
      <c r="AB83" s="2">
        <v>0</v>
      </c>
      <c r="AC83" s="2">
        <v>0</v>
      </c>
      <c r="AD83" s="2">
        <v>0</v>
      </c>
      <c r="AE83" s="2">
        <v>1</v>
      </c>
      <c r="AF83" s="2">
        <v>1</v>
      </c>
      <c r="AG83" s="2">
        <v>1</v>
      </c>
      <c r="AH83" s="2"/>
      <c r="AI83" s="3"/>
    </row>
    <row r="84" spans="1:35" ht="12.75" hidden="1" x14ac:dyDescent="0.35">
      <c r="A84" s="37" t="s">
        <v>312</v>
      </c>
      <c r="B84" s="37" t="s">
        <v>313</v>
      </c>
      <c r="C84" s="4">
        <v>45664.644584814814</v>
      </c>
      <c r="D84" s="5" t="s">
        <v>82</v>
      </c>
      <c r="E84" s="5" t="s">
        <v>20</v>
      </c>
      <c r="F84" s="5">
        <v>2</v>
      </c>
      <c r="G84" s="5">
        <v>4</v>
      </c>
      <c r="H84" s="5">
        <v>3</v>
      </c>
      <c r="I84" s="5">
        <v>3</v>
      </c>
      <c r="J84" s="5">
        <v>4</v>
      </c>
      <c r="K84" s="5">
        <v>2</v>
      </c>
      <c r="L84" s="5">
        <v>0</v>
      </c>
      <c r="M84" s="5"/>
      <c r="N84" s="5">
        <v>2</v>
      </c>
      <c r="O84" s="5">
        <v>3</v>
      </c>
      <c r="P84" s="5">
        <v>4</v>
      </c>
      <c r="Q84" s="5" t="s">
        <v>170</v>
      </c>
      <c r="R84" s="5">
        <v>3</v>
      </c>
      <c r="S84" s="5">
        <v>4</v>
      </c>
      <c r="T84" s="5">
        <v>3</v>
      </c>
      <c r="U84" s="5">
        <v>4</v>
      </c>
      <c r="V84" s="5">
        <v>3</v>
      </c>
      <c r="W84" s="5">
        <v>1</v>
      </c>
      <c r="X84" s="5">
        <v>3</v>
      </c>
      <c r="Y84" s="5">
        <v>3</v>
      </c>
      <c r="Z84" s="5"/>
      <c r="AA84" s="5">
        <v>4</v>
      </c>
      <c r="AB84" s="5">
        <v>4</v>
      </c>
      <c r="AC84" s="5">
        <v>3</v>
      </c>
      <c r="AD84" s="5">
        <v>3</v>
      </c>
      <c r="AE84" s="5">
        <v>4</v>
      </c>
      <c r="AF84" s="5">
        <v>4</v>
      </c>
      <c r="AG84" s="5">
        <v>5</v>
      </c>
      <c r="AH84" s="5"/>
      <c r="AI84" s="6"/>
    </row>
    <row r="85" spans="1:35" ht="12.75" hidden="1" x14ac:dyDescent="0.35">
      <c r="A85" s="37" t="s">
        <v>312</v>
      </c>
      <c r="B85" s="37" t="s">
        <v>311</v>
      </c>
      <c r="C85" s="1">
        <v>45664.644723449077</v>
      </c>
      <c r="D85" s="2" t="s">
        <v>45</v>
      </c>
      <c r="E85" s="2" t="s">
        <v>17</v>
      </c>
      <c r="F85" s="2">
        <v>1</v>
      </c>
      <c r="G85" s="2">
        <v>2</v>
      </c>
      <c r="H85" s="2">
        <v>0</v>
      </c>
      <c r="I85" s="2">
        <v>0</v>
      </c>
      <c r="J85" s="2">
        <v>3</v>
      </c>
      <c r="K85" s="2">
        <v>2</v>
      </c>
      <c r="L85" s="2">
        <v>2</v>
      </c>
      <c r="M85" s="2" t="s">
        <v>37</v>
      </c>
      <c r="N85" s="2">
        <v>3</v>
      </c>
      <c r="O85" s="2">
        <v>3</v>
      </c>
      <c r="P85" s="2">
        <v>3</v>
      </c>
      <c r="Q85" s="2" t="s">
        <v>171</v>
      </c>
      <c r="R85" s="2">
        <v>2</v>
      </c>
      <c r="S85" s="2">
        <v>1</v>
      </c>
      <c r="T85" s="2">
        <v>2</v>
      </c>
      <c r="U85" s="2">
        <v>4</v>
      </c>
      <c r="V85" s="2">
        <v>3</v>
      </c>
      <c r="W85" s="2">
        <v>4</v>
      </c>
      <c r="X85" s="2">
        <v>3</v>
      </c>
      <c r="Y85" s="2">
        <v>3</v>
      </c>
      <c r="Z85" s="2" t="s">
        <v>171</v>
      </c>
      <c r="AA85" s="2">
        <v>4</v>
      </c>
      <c r="AB85" s="2">
        <v>1</v>
      </c>
      <c r="AC85" s="2">
        <v>1</v>
      </c>
      <c r="AD85" s="2">
        <v>1</v>
      </c>
      <c r="AE85" s="2">
        <v>4</v>
      </c>
      <c r="AF85" s="2">
        <v>4</v>
      </c>
      <c r="AG85" s="2">
        <v>4</v>
      </c>
      <c r="AH85" s="2" t="s">
        <v>172</v>
      </c>
      <c r="AI85" s="3"/>
    </row>
    <row r="86" spans="1:35" ht="12.75" hidden="1" x14ac:dyDescent="0.35">
      <c r="A86" s="37" t="s">
        <v>312</v>
      </c>
      <c r="B86" s="37" t="s">
        <v>313</v>
      </c>
      <c r="C86" s="4">
        <v>45664.644804305557</v>
      </c>
      <c r="D86" s="5" t="s">
        <v>173</v>
      </c>
      <c r="E86" s="5" t="s">
        <v>77</v>
      </c>
      <c r="F86" s="5">
        <v>2</v>
      </c>
      <c r="G86" s="5">
        <v>1</v>
      </c>
      <c r="H86" s="5">
        <v>1</v>
      </c>
      <c r="I86" s="5">
        <v>0</v>
      </c>
      <c r="J86" s="5">
        <v>1</v>
      </c>
      <c r="K86" s="5">
        <v>0</v>
      </c>
      <c r="L86" s="5">
        <v>0</v>
      </c>
      <c r="M86" s="5" t="s">
        <v>174</v>
      </c>
      <c r="N86" s="5">
        <v>1</v>
      </c>
      <c r="O86" s="5">
        <v>2</v>
      </c>
      <c r="P86" s="5">
        <v>1</v>
      </c>
      <c r="Q86" s="5"/>
      <c r="R86" s="5">
        <v>1</v>
      </c>
      <c r="S86" s="5">
        <v>2</v>
      </c>
      <c r="T86" s="5">
        <v>1</v>
      </c>
      <c r="U86" s="5">
        <v>1</v>
      </c>
      <c r="V86" s="5">
        <v>1</v>
      </c>
      <c r="W86" s="5">
        <v>1</v>
      </c>
      <c r="X86" s="5">
        <v>2</v>
      </c>
      <c r="Y86" s="5">
        <v>2</v>
      </c>
      <c r="Z86" s="5" t="s">
        <v>175</v>
      </c>
      <c r="AA86" s="5">
        <v>3</v>
      </c>
      <c r="AB86" s="5">
        <v>1</v>
      </c>
      <c r="AC86" s="5">
        <v>0</v>
      </c>
      <c r="AD86" s="5">
        <v>1</v>
      </c>
      <c r="AE86" s="5">
        <v>1</v>
      </c>
      <c r="AF86" s="5">
        <v>3</v>
      </c>
      <c r="AG86" s="5">
        <v>3</v>
      </c>
      <c r="AH86" s="5"/>
      <c r="AI86" s="6"/>
    </row>
    <row r="87" spans="1:35" ht="12.75" hidden="1" x14ac:dyDescent="0.35">
      <c r="A87" s="37" t="s">
        <v>312</v>
      </c>
      <c r="B87" s="37" t="s">
        <v>315</v>
      </c>
      <c r="C87" s="1">
        <v>45664.644995949071</v>
      </c>
      <c r="D87" s="2" t="s">
        <v>176</v>
      </c>
      <c r="E87" s="2" t="s">
        <v>20</v>
      </c>
      <c r="F87" s="2">
        <v>4</v>
      </c>
      <c r="G87" s="2">
        <v>3</v>
      </c>
      <c r="H87" s="2">
        <v>3</v>
      </c>
      <c r="I87" s="2">
        <v>0</v>
      </c>
      <c r="J87" s="2">
        <v>0</v>
      </c>
      <c r="K87" s="2">
        <v>0</v>
      </c>
      <c r="L87" s="2">
        <v>0</v>
      </c>
      <c r="M87" s="2" t="s">
        <v>177</v>
      </c>
      <c r="N87" s="2">
        <v>1</v>
      </c>
      <c r="O87" s="2">
        <v>1</v>
      </c>
      <c r="P87" s="2">
        <v>2</v>
      </c>
      <c r="Q87" s="2" t="s">
        <v>178</v>
      </c>
      <c r="R87" s="2">
        <v>2</v>
      </c>
      <c r="S87" s="2">
        <v>4</v>
      </c>
      <c r="T87" s="2">
        <v>1</v>
      </c>
      <c r="U87" s="2">
        <v>1</v>
      </c>
      <c r="V87" s="2">
        <v>1</v>
      </c>
      <c r="W87" s="2">
        <v>1</v>
      </c>
      <c r="X87" s="2">
        <v>1</v>
      </c>
      <c r="Y87" s="2">
        <v>1</v>
      </c>
      <c r="Z87" s="2" t="s">
        <v>179</v>
      </c>
      <c r="AA87" s="2">
        <v>1</v>
      </c>
      <c r="AB87" s="2">
        <v>4</v>
      </c>
      <c r="AC87" s="2">
        <v>1</v>
      </c>
      <c r="AD87" s="2">
        <v>1</v>
      </c>
      <c r="AE87" s="2">
        <v>5</v>
      </c>
      <c r="AF87" s="2">
        <v>2</v>
      </c>
      <c r="AG87" s="2">
        <v>2</v>
      </c>
      <c r="AH87" s="2"/>
      <c r="AI87" s="3"/>
    </row>
    <row r="88" spans="1:35" ht="12.75" hidden="1" x14ac:dyDescent="0.35">
      <c r="A88" s="37" t="s">
        <v>312</v>
      </c>
      <c r="B88" s="37" t="s">
        <v>315</v>
      </c>
      <c r="C88" s="4">
        <v>45664.646146145838</v>
      </c>
      <c r="D88" s="5" t="s">
        <v>74</v>
      </c>
      <c r="E88" s="5" t="s">
        <v>20</v>
      </c>
      <c r="F88" s="5">
        <v>4</v>
      </c>
      <c r="G88" s="5">
        <v>2</v>
      </c>
      <c r="H88" s="5">
        <v>1</v>
      </c>
      <c r="I88" s="5">
        <v>0</v>
      </c>
      <c r="J88" s="5">
        <v>3</v>
      </c>
      <c r="K88" s="5">
        <v>0</v>
      </c>
      <c r="L88" s="5">
        <v>0</v>
      </c>
      <c r="M88" s="5"/>
      <c r="N88" s="5">
        <v>1</v>
      </c>
      <c r="O88" s="5">
        <v>1</v>
      </c>
      <c r="P88" s="5">
        <v>3</v>
      </c>
      <c r="Q88" s="5"/>
      <c r="R88" s="5">
        <v>4</v>
      </c>
      <c r="S88" s="5">
        <v>1</v>
      </c>
      <c r="T88" s="5">
        <v>3</v>
      </c>
      <c r="U88" s="5">
        <v>4</v>
      </c>
      <c r="V88" s="5">
        <v>1</v>
      </c>
      <c r="W88" s="5">
        <v>1</v>
      </c>
      <c r="X88" s="5">
        <v>1</v>
      </c>
      <c r="Y88" s="5">
        <v>3</v>
      </c>
      <c r="Z88" s="5"/>
      <c r="AA88" s="5">
        <v>3</v>
      </c>
      <c r="AB88" s="5">
        <v>5</v>
      </c>
      <c r="AC88" s="5">
        <v>4</v>
      </c>
      <c r="AD88" s="5">
        <v>4</v>
      </c>
      <c r="AE88" s="5">
        <v>3</v>
      </c>
      <c r="AF88" s="5">
        <v>4</v>
      </c>
      <c r="AG88" s="5">
        <v>3</v>
      </c>
      <c r="AH88" s="5"/>
      <c r="AI88" s="6"/>
    </row>
    <row r="89" spans="1:35" ht="12.75" hidden="1" x14ac:dyDescent="0.35">
      <c r="A89" s="37" t="s">
        <v>312</v>
      </c>
      <c r="B89" s="37" t="s">
        <v>313</v>
      </c>
      <c r="C89" s="1">
        <v>45664.646260636575</v>
      </c>
      <c r="D89" s="2" t="s">
        <v>184</v>
      </c>
      <c r="E89" s="2" t="s">
        <v>20</v>
      </c>
      <c r="F89" s="2">
        <v>2</v>
      </c>
      <c r="G89" s="2">
        <v>2</v>
      </c>
      <c r="H89" s="2">
        <v>3</v>
      </c>
      <c r="I89" s="2">
        <v>2</v>
      </c>
      <c r="J89" s="2">
        <v>1</v>
      </c>
      <c r="K89" s="2">
        <v>2</v>
      </c>
      <c r="L89" s="2">
        <v>1</v>
      </c>
      <c r="M89" s="2"/>
      <c r="N89" s="2">
        <v>2</v>
      </c>
      <c r="O89" s="2">
        <v>3</v>
      </c>
      <c r="P89" s="2">
        <v>1</v>
      </c>
      <c r="Q89" s="2"/>
      <c r="R89" s="2">
        <v>3</v>
      </c>
      <c r="S89" s="2">
        <v>3</v>
      </c>
      <c r="T89" s="2">
        <v>3</v>
      </c>
      <c r="U89" s="2">
        <v>1</v>
      </c>
      <c r="V89" s="2">
        <v>2</v>
      </c>
      <c r="W89" s="2">
        <v>1</v>
      </c>
      <c r="X89" s="2">
        <v>4</v>
      </c>
      <c r="Y89" s="2">
        <v>3</v>
      </c>
      <c r="Z89" s="2"/>
      <c r="AA89" s="2">
        <v>2</v>
      </c>
      <c r="AB89" s="2">
        <v>3</v>
      </c>
      <c r="AC89" s="2">
        <v>3</v>
      </c>
      <c r="AD89" s="2">
        <v>4</v>
      </c>
      <c r="AE89" s="2">
        <v>2</v>
      </c>
      <c r="AF89" s="2">
        <v>4</v>
      </c>
      <c r="AG89" s="2">
        <v>3</v>
      </c>
      <c r="AH89" s="2"/>
      <c r="AI89" s="3"/>
    </row>
    <row r="90" spans="1:35" ht="12.75" hidden="1" x14ac:dyDescent="0.35">
      <c r="A90" s="37" t="s">
        <v>312</v>
      </c>
      <c r="B90" s="37" t="s">
        <v>315</v>
      </c>
      <c r="C90" s="4">
        <v>45664.646297106483</v>
      </c>
      <c r="D90" s="5" t="s">
        <v>107</v>
      </c>
      <c r="E90" s="5" t="s">
        <v>20</v>
      </c>
      <c r="F90" s="5">
        <v>4</v>
      </c>
      <c r="G90" s="5">
        <v>2</v>
      </c>
      <c r="H90" s="5">
        <v>4</v>
      </c>
      <c r="I90" s="5">
        <v>3</v>
      </c>
      <c r="J90" s="5" t="s">
        <v>59</v>
      </c>
      <c r="K90" s="5">
        <v>1</v>
      </c>
      <c r="L90" s="5">
        <v>1</v>
      </c>
      <c r="M90" s="5" t="s">
        <v>185</v>
      </c>
      <c r="N90" s="5">
        <v>2</v>
      </c>
      <c r="O90" s="5">
        <v>3</v>
      </c>
      <c r="P90" s="5">
        <v>3</v>
      </c>
      <c r="Q90" s="5"/>
      <c r="R90" s="5">
        <v>4</v>
      </c>
      <c r="S90" s="5">
        <v>4</v>
      </c>
      <c r="T90" s="5">
        <v>4</v>
      </c>
      <c r="U90" s="5">
        <v>4</v>
      </c>
      <c r="V90" s="5">
        <v>2</v>
      </c>
      <c r="W90" s="5">
        <v>2</v>
      </c>
      <c r="X90" s="5">
        <v>4</v>
      </c>
      <c r="Y90" s="5">
        <v>4</v>
      </c>
      <c r="Z90" s="5" t="s">
        <v>186</v>
      </c>
      <c r="AA90" s="5">
        <v>4</v>
      </c>
      <c r="AB90" s="5">
        <v>4</v>
      </c>
      <c r="AC90" s="5">
        <v>4</v>
      </c>
      <c r="AD90" s="5">
        <v>4</v>
      </c>
      <c r="AE90" s="5">
        <v>4</v>
      </c>
      <c r="AF90" s="5">
        <v>4</v>
      </c>
      <c r="AG90" s="5">
        <v>4</v>
      </c>
      <c r="AH90" s="5"/>
      <c r="AI90" s="6"/>
    </row>
    <row r="91" spans="1:35" ht="12.75" hidden="1" x14ac:dyDescent="0.35">
      <c r="A91" s="37" t="s">
        <v>312</v>
      </c>
      <c r="B91" s="37" t="s">
        <v>315</v>
      </c>
      <c r="C91" s="4">
        <v>45664.646498668983</v>
      </c>
      <c r="D91" s="5" t="s">
        <v>81</v>
      </c>
      <c r="E91" s="5" t="s">
        <v>20</v>
      </c>
      <c r="F91" s="5">
        <v>4</v>
      </c>
      <c r="G91" s="5">
        <v>1</v>
      </c>
      <c r="H91" s="5">
        <v>1</v>
      </c>
      <c r="I91" s="5">
        <v>0</v>
      </c>
      <c r="J91" s="5">
        <v>0</v>
      </c>
      <c r="K91" s="5">
        <v>0</v>
      </c>
      <c r="L91" s="5">
        <v>0</v>
      </c>
      <c r="M91" s="5"/>
      <c r="N91" s="5">
        <v>1</v>
      </c>
      <c r="O91" s="5">
        <v>3</v>
      </c>
      <c r="P91" s="5">
        <v>1</v>
      </c>
      <c r="Q91" s="5"/>
      <c r="R91" s="5">
        <v>4</v>
      </c>
      <c r="S91" s="5">
        <v>2</v>
      </c>
      <c r="T91" s="5">
        <v>1</v>
      </c>
      <c r="U91" s="5">
        <v>3</v>
      </c>
      <c r="V91" s="5">
        <v>1</v>
      </c>
      <c r="W91" s="5">
        <v>1</v>
      </c>
      <c r="X91" s="5">
        <v>3</v>
      </c>
      <c r="Y91" s="5">
        <v>1</v>
      </c>
      <c r="Z91" s="5"/>
      <c r="AA91" s="5">
        <v>1</v>
      </c>
      <c r="AB91" s="5">
        <v>3</v>
      </c>
      <c r="AC91" s="5">
        <v>1</v>
      </c>
      <c r="AD91" s="5">
        <v>2</v>
      </c>
      <c r="AE91" s="5">
        <v>2</v>
      </c>
      <c r="AF91" s="5">
        <v>2</v>
      </c>
      <c r="AG91" s="5">
        <v>2</v>
      </c>
      <c r="AH91" s="5"/>
      <c r="AI91" s="6"/>
    </row>
    <row r="92" spans="1:35" ht="12.75" hidden="1" x14ac:dyDescent="0.35">
      <c r="A92" s="37" t="s">
        <v>312</v>
      </c>
      <c r="B92" s="37" t="s">
        <v>315</v>
      </c>
      <c r="C92" s="1">
        <v>45664.646684201391</v>
      </c>
      <c r="D92" s="2" t="s">
        <v>28</v>
      </c>
      <c r="E92" s="2" t="s">
        <v>20</v>
      </c>
      <c r="F92" s="2">
        <v>4</v>
      </c>
      <c r="G92" s="2">
        <v>4</v>
      </c>
      <c r="H92" s="2">
        <v>2</v>
      </c>
      <c r="I92" s="2">
        <v>2</v>
      </c>
      <c r="J92" s="2">
        <v>4</v>
      </c>
      <c r="K92" s="2">
        <v>4</v>
      </c>
      <c r="L92" s="2">
        <v>1</v>
      </c>
      <c r="M92" s="2"/>
      <c r="N92" s="2">
        <v>2</v>
      </c>
      <c r="O92" s="2">
        <v>3</v>
      </c>
      <c r="P92" s="2">
        <v>1</v>
      </c>
      <c r="Q92" s="2"/>
      <c r="R92" s="2">
        <v>5</v>
      </c>
      <c r="S92" s="2">
        <v>5</v>
      </c>
      <c r="T92" s="2">
        <v>5</v>
      </c>
      <c r="U92" s="2">
        <v>4</v>
      </c>
      <c r="V92" s="2">
        <v>1</v>
      </c>
      <c r="W92" s="2">
        <v>1</v>
      </c>
      <c r="X92" s="2">
        <v>1</v>
      </c>
      <c r="Y92" s="2">
        <v>1</v>
      </c>
      <c r="Z92" s="2" t="s">
        <v>187</v>
      </c>
      <c r="AA92" s="2">
        <v>1</v>
      </c>
      <c r="AB92" s="2">
        <v>5</v>
      </c>
      <c r="AC92" s="2">
        <v>5</v>
      </c>
      <c r="AD92" s="2">
        <v>5</v>
      </c>
      <c r="AE92" s="2">
        <v>1</v>
      </c>
      <c r="AF92" s="2">
        <v>1</v>
      </c>
      <c r="AG92" s="2">
        <v>1</v>
      </c>
      <c r="AH92" s="2"/>
      <c r="AI92" s="3" t="s">
        <v>188</v>
      </c>
    </row>
    <row r="93" spans="1:35" ht="12.75" hidden="1" x14ac:dyDescent="0.35">
      <c r="A93" s="37" t="s">
        <v>312</v>
      </c>
      <c r="B93" s="37" t="s">
        <v>315</v>
      </c>
      <c r="C93" s="4">
        <v>45664.646968518515</v>
      </c>
      <c r="D93" s="5" t="s">
        <v>49</v>
      </c>
      <c r="E93" s="5" t="s">
        <v>17</v>
      </c>
      <c r="F93" s="5">
        <v>4</v>
      </c>
      <c r="G93" s="5">
        <v>2</v>
      </c>
      <c r="H93" s="5">
        <v>0</v>
      </c>
      <c r="I93" s="5">
        <v>0</v>
      </c>
      <c r="J93" s="5">
        <v>1</v>
      </c>
      <c r="K93" s="5">
        <v>1</v>
      </c>
      <c r="L93" s="5">
        <v>0</v>
      </c>
      <c r="M93" s="5" t="s">
        <v>169</v>
      </c>
      <c r="N93" s="5">
        <v>1</v>
      </c>
      <c r="O93" s="5">
        <v>1</v>
      </c>
      <c r="P93" s="5">
        <v>2</v>
      </c>
      <c r="Q93" s="5" t="s">
        <v>51</v>
      </c>
      <c r="R93" s="5">
        <v>2</v>
      </c>
      <c r="S93" s="5">
        <v>1</v>
      </c>
      <c r="T93" s="5">
        <v>1</v>
      </c>
      <c r="U93" s="5">
        <v>2</v>
      </c>
      <c r="V93" s="5">
        <v>2</v>
      </c>
      <c r="W93" s="5">
        <v>1</v>
      </c>
      <c r="X93" s="5">
        <v>1</v>
      </c>
      <c r="Y93" s="5">
        <v>2</v>
      </c>
      <c r="Z93" s="5" t="s">
        <v>51</v>
      </c>
      <c r="AA93" s="5">
        <v>2</v>
      </c>
      <c r="AB93" s="5">
        <v>1</v>
      </c>
      <c r="AC93" s="5">
        <v>1</v>
      </c>
      <c r="AD93" s="5">
        <v>0</v>
      </c>
      <c r="AE93" s="5">
        <v>2</v>
      </c>
      <c r="AF93" s="5">
        <v>2</v>
      </c>
      <c r="AG93" s="5">
        <v>2</v>
      </c>
      <c r="AH93" s="5"/>
      <c r="AI93" s="6"/>
    </row>
    <row r="94" spans="1:35" ht="12.75" hidden="1" x14ac:dyDescent="0.35">
      <c r="A94" s="37" t="s">
        <v>312</v>
      </c>
      <c r="B94" s="37" t="s">
        <v>314</v>
      </c>
      <c r="C94" s="1">
        <v>45664.647007824075</v>
      </c>
      <c r="D94" s="2" t="s">
        <v>173</v>
      </c>
      <c r="E94" s="2" t="s">
        <v>77</v>
      </c>
      <c r="F94" s="2">
        <v>3</v>
      </c>
      <c r="G94" s="2">
        <v>1</v>
      </c>
      <c r="H94" s="2">
        <v>1</v>
      </c>
      <c r="I94" s="2">
        <v>0</v>
      </c>
      <c r="J94" s="2">
        <v>0</v>
      </c>
      <c r="K94" s="2">
        <v>0</v>
      </c>
      <c r="L94" s="2">
        <v>1</v>
      </c>
      <c r="M94" s="2" t="s">
        <v>189</v>
      </c>
      <c r="N94" s="2">
        <v>1</v>
      </c>
      <c r="O94" s="2">
        <v>1</v>
      </c>
      <c r="P94" s="2">
        <v>1</v>
      </c>
      <c r="Q94" s="2"/>
      <c r="R94" s="2">
        <v>2</v>
      </c>
      <c r="S94" s="2">
        <v>1</v>
      </c>
      <c r="T94" s="2">
        <v>1</v>
      </c>
      <c r="U94" s="2">
        <v>1</v>
      </c>
      <c r="V94" s="2">
        <v>1</v>
      </c>
      <c r="W94" s="2">
        <v>1</v>
      </c>
      <c r="X94" s="2">
        <v>1</v>
      </c>
      <c r="Y94" s="2">
        <v>2</v>
      </c>
      <c r="Z94" s="2"/>
      <c r="AA94" s="2">
        <v>3</v>
      </c>
      <c r="AB94" s="2">
        <v>1</v>
      </c>
      <c r="AC94" s="2">
        <v>0</v>
      </c>
      <c r="AD94" s="2">
        <v>0</v>
      </c>
      <c r="AE94" s="2">
        <v>3</v>
      </c>
      <c r="AF94" s="2">
        <v>3</v>
      </c>
      <c r="AG94" s="2">
        <v>3</v>
      </c>
      <c r="AH94" s="2"/>
      <c r="AI94" s="3"/>
    </row>
    <row r="95" spans="1:35" ht="12.75" hidden="1" x14ac:dyDescent="0.35">
      <c r="A95" s="37" t="s">
        <v>312</v>
      </c>
      <c r="B95" s="37" t="s">
        <v>313</v>
      </c>
      <c r="C95" s="4">
        <v>45664.647152731486</v>
      </c>
      <c r="D95" s="5" t="s">
        <v>143</v>
      </c>
      <c r="E95" s="5" t="s">
        <v>77</v>
      </c>
      <c r="F95" s="5">
        <v>2</v>
      </c>
      <c r="G95" s="5">
        <v>2</v>
      </c>
      <c r="H95" s="5">
        <v>1</v>
      </c>
      <c r="I95" s="5">
        <v>0</v>
      </c>
      <c r="J95" s="5">
        <v>3</v>
      </c>
      <c r="K95" s="5">
        <v>0</v>
      </c>
      <c r="L95" s="5">
        <v>0</v>
      </c>
      <c r="M95" s="5"/>
      <c r="N95" s="5">
        <v>2</v>
      </c>
      <c r="O95" s="5">
        <v>1</v>
      </c>
      <c r="P95" s="5">
        <v>1</v>
      </c>
      <c r="Q95" s="5"/>
      <c r="R95" s="5">
        <v>1</v>
      </c>
      <c r="S95" s="5">
        <v>2</v>
      </c>
      <c r="T95" s="5">
        <v>1</v>
      </c>
      <c r="U95" s="5">
        <v>3</v>
      </c>
      <c r="V95" s="5">
        <v>1</v>
      </c>
      <c r="W95" s="5">
        <v>2</v>
      </c>
      <c r="X95" s="5">
        <v>1</v>
      </c>
      <c r="Y95" s="5">
        <v>1</v>
      </c>
      <c r="Z95" s="5"/>
      <c r="AA95" s="5">
        <v>3</v>
      </c>
      <c r="AB95" s="5">
        <v>3</v>
      </c>
      <c r="AC95" s="5">
        <v>1</v>
      </c>
      <c r="AD95" s="5">
        <v>1</v>
      </c>
      <c r="AE95" s="5">
        <v>2</v>
      </c>
      <c r="AF95" s="5">
        <v>3</v>
      </c>
      <c r="AG95" s="5">
        <v>3</v>
      </c>
      <c r="AH95" s="5" t="s">
        <v>190</v>
      </c>
      <c r="AI95" s="6" t="s">
        <v>191</v>
      </c>
    </row>
    <row r="96" spans="1:35" ht="12.75" hidden="1" x14ac:dyDescent="0.35">
      <c r="A96" s="37" t="s">
        <v>312</v>
      </c>
      <c r="B96" s="37" t="s">
        <v>313</v>
      </c>
      <c r="C96" s="4">
        <v>45664.647327013889</v>
      </c>
      <c r="D96" s="5" t="s">
        <v>127</v>
      </c>
      <c r="E96" s="5" t="s">
        <v>20</v>
      </c>
      <c r="F96" s="5">
        <v>2</v>
      </c>
      <c r="G96" s="5">
        <v>4</v>
      </c>
      <c r="H96" s="5">
        <v>2</v>
      </c>
      <c r="I96" s="5">
        <v>1</v>
      </c>
      <c r="J96" s="5">
        <v>3</v>
      </c>
      <c r="K96" s="5">
        <v>3</v>
      </c>
      <c r="L96" s="5">
        <v>4</v>
      </c>
      <c r="M96" s="5" t="s">
        <v>192</v>
      </c>
      <c r="N96" s="5">
        <v>4</v>
      </c>
      <c r="O96" s="5">
        <v>3</v>
      </c>
      <c r="P96" s="5">
        <v>3</v>
      </c>
      <c r="Q96" s="5" t="s">
        <v>193</v>
      </c>
      <c r="R96" s="5">
        <v>4</v>
      </c>
      <c r="S96" s="5">
        <v>2</v>
      </c>
      <c r="T96" s="5">
        <v>4</v>
      </c>
      <c r="U96" s="5">
        <v>4</v>
      </c>
      <c r="V96" s="5">
        <v>3</v>
      </c>
      <c r="W96" s="5">
        <v>3</v>
      </c>
      <c r="X96" s="5">
        <v>3</v>
      </c>
      <c r="Y96" s="5">
        <v>3</v>
      </c>
      <c r="Z96" s="5"/>
      <c r="AA96" s="5">
        <v>3</v>
      </c>
      <c r="AB96" s="5">
        <v>4</v>
      </c>
      <c r="AC96" s="5">
        <v>3</v>
      </c>
      <c r="AD96" s="5">
        <v>3</v>
      </c>
      <c r="AE96" s="5">
        <v>3</v>
      </c>
      <c r="AF96" s="5">
        <v>3</v>
      </c>
      <c r="AG96" s="5">
        <v>3</v>
      </c>
      <c r="AH96" s="5" t="s">
        <v>194</v>
      </c>
      <c r="AI96" s="6" t="s">
        <v>195</v>
      </c>
    </row>
    <row r="97" spans="1:35" ht="12.75" hidden="1" x14ac:dyDescent="0.35">
      <c r="A97" s="37" t="s">
        <v>312</v>
      </c>
      <c r="B97" s="37" t="s">
        <v>315</v>
      </c>
      <c r="C97" s="1">
        <v>45664.647334849535</v>
      </c>
      <c r="D97" s="2" t="s">
        <v>196</v>
      </c>
      <c r="E97" s="2" t="s">
        <v>20</v>
      </c>
      <c r="F97" s="2">
        <v>4</v>
      </c>
      <c r="G97" s="2">
        <v>2</v>
      </c>
      <c r="H97" s="2">
        <v>1</v>
      </c>
      <c r="I97" s="2">
        <v>1</v>
      </c>
      <c r="J97" s="2">
        <v>2</v>
      </c>
      <c r="K97" s="2">
        <v>2</v>
      </c>
      <c r="L97" s="2">
        <v>1</v>
      </c>
      <c r="M97" s="2" t="s">
        <v>197</v>
      </c>
      <c r="N97" s="2">
        <v>4</v>
      </c>
      <c r="O97" s="2">
        <v>2</v>
      </c>
      <c r="P97" s="2">
        <v>1</v>
      </c>
      <c r="Q97" s="2"/>
      <c r="R97" s="2">
        <v>3</v>
      </c>
      <c r="S97" s="2">
        <v>1</v>
      </c>
      <c r="T97" s="2">
        <v>2</v>
      </c>
      <c r="U97" s="2">
        <v>2</v>
      </c>
      <c r="V97" s="2">
        <v>1</v>
      </c>
      <c r="W97" s="2">
        <v>4</v>
      </c>
      <c r="X97" s="2">
        <v>2</v>
      </c>
      <c r="Y97" s="2">
        <v>1</v>
      </c>
      <c r="Z97" s="2"/>
      <c r="AA97" s="2">
        <v>4</v>
      </c>
      <c r="AB97" s="2">
        <v>2</v>
      </c>
      <c r="AC97" s="2">
        <v>1</v>
      </c>
      <c r="AD97" s="2">
        <v>3</v>
      </c>
      <c r="AE97" s="2">
        <v>5</v>
      </c>
      <c r="AF97" s="2">
        <v>4</v>
      </c>
      <c r="AG97" s="2">
        <v>5</v>
      </c>
      <c r="AH97" s="2"/>
      <c r="AI97" s="3"/>
    </row>
    <row r="98" spans="1:35" ht="12.75" hidden="1" x14ac:dyDescent="0.35">
      <c r="A98" s="37" t="s">
        <v>312</v>
      </c>
      <c r="B98" s="37" t="s">
        <v>315</v>
      </c>
      <c r="C98" s="1">
        <v>45664.648077511578</v>
      </c>
      <c r="D98" s="2" t="s">
        <v>63</v>
      </c>
      <c r="E98" s="2" t="s">
        <v>20</v>
      </c>
      <c r="F98" s="2">
        <v>4</v>
      </c>
      <c r="G98" s="2">
        <v>4</v>
      </c>
      <c r="H98" s="2">
        <v>0</v>
      </c>
      <c r="I98" s="2">
        <v>0</v>
      </c>
      <c r="J98" s="2">
        <v>4</v>
      </c>
      <c r="K98" s="2">
        <v>2</v>
      </c>
      <c r="L98" s="2">
        <v>2</v>
      </c>
      <c r="M98" s="2" t="s">
        <v>37</v>
      </c>
      <c r="N98" s="2">
        <v>4</v>
      </c>
      <c r="O98" s="2">
        <v>2</v>
      </c>
      <c r="P98" s="2">
        <v>1</v>
      </c>
      <c r="Q98" s="2"/>
      <c r="R98" s="2">
        <v>5</v>
      </c>
      <c r="S98" s="2">
        <v>1</v>
      </c>
      <c r="T98" s="2">
        <v>4</v>
      </c>
      <c r="U98" s="2">
        <v>5</v>
      </c>
      <c r="V98" s="2">
        <v>3</v>
      </c>
      <c r="W98" s="2">
        <v>4</v>
      </c>
      <c r="X98" s="2">
        <v>3</v>
      </c>
      <c r="Y98" s="2">
        <v>1</v>
      </c>
      <c r="Z98" s="2"/>
      <c r="AA98" s="2">
        <v>5</v>
      </c>
      <c r="AB98" s="2">
        <v>4</v>
      </c>
      <c r="AC98" s="2">
        <v>3</v>
      </c>
      <c r="AD98" s="2">
        <v>4</v>
      </c>
      <c r="AE98" s="2">
        <v>4</v>
      </c>
      <c r="AF98" s="2">
        <v>4</v>
      </c>
      <c r="AG98" s="2">
        <v>5</v>
      </c>
      <c r="AH98" s="2"/>
      <c r="AI98" s="3"/>
    </row>
    <row r="99" spans="1:35" ht="12.75" hidden="1" x14ac:dyDescent="0.35">
      <c r="A99" s="37" t="s">
        <v>312</v>
      </c>
      <c r="B99" s="37" t="s">
        <v>314</v>
      </c>
      <c r="C99" s="4">
        <v>45664.648137824071</v>
      </c>
      <c r="D99" s="5" t="s">
        <v>201</v>
      </c>
      <c r="E99" s="5" t="s">
        <v>20</v>
      </c>
      <c r="F99" s="5">
        <v>3</v>
      </c>
      <c r="G99" s="5">
        <v>3</v>
      </c>
      <c r="H99" s="5">
        <v>0</v>
      </c>
      <c r="I99" s="5">
        <v>1</v>
      </c>
      <c r="J99" s="5">
        <v>2</v>
      </c>
      <c r="K99" s="5">
        <v>0</v>
      </c>
      <c r="L99" s="5">
        <v>0</v>
      </c>
      <c r="M99" s="5"/>
      <c r="N99" s="5">
        <v>2</v>
      </c>
      <c r="O99" s="5">
        <v>1</v>
      </c>
      <c r="P99" s="5">
        <v>1</v>
      </c>
      <c r="Q99" s="5"/>
      <c r="R99" s="5">
        <v>4</v>
      </c>
      <c r="S99" s="5">
        <v>1</v>
      </c>
      <c r="T99" s="5">
        <v>3</v>
      </c>
      <c r="U99" s="5">
        <v>4</v>
      </c>
      <c r="V99" s="5">
        <v>1</v>
      </c>
      <c r="W99" s="5">
        <v>3</v>
      </c>
      <c r="X99" s="5">
        <v>2</v>
      </c>
      <c r="Y99" s="5">
        <v>1</v>
      </c>
      <c r="Z99" s="5"/>
      <c r="AA99" s="5">
        <v>3</v>
      </c>
      <c r="AB99" s="5">
        <v>3</v>
      </c>
      <c r="AC99" s="5">
        <v>3</v>
      </c>
      <c r="AD99" s="5">
        <v>2</v>
      </c>
      <c r="AE99" s="5">
        <v>4</v>
      </c>
      <c r="AF99" s="5">
        <v>4</v>
      </c>
      <c r="AG99" s="5">
        <v>4</v>
      </c>
      <c r="AH99" s="5"/>
      <c r="AI99" s="6"/>
    </row>
    <row r="100" spans="1:35" ht="12.75" hidden="1" x14ac:dyDescent="0.35">
      <c r="A100" s="37" t="s">
        <v>312</v>
      </c>
      <c r="B100" s="37" t="s">
        <v>313</v>
      </c>
      <c r="C100" s="4">
        <v>45664.648309166667</v>
      </c>
      <c r="D100" s="5" t="s">
        <v>159</v>
      </c>
      <c r="E100" s="5" t="s">
        <v>17</v>
      </c>
      <c r="F100" s="5">
        <v>2</v>
      </c>
      <c r="G100" s="5">
        <v>2</v>
      </c>
      <c r="H100" s="5">
        <v>0</v>
      </c>
      <c r="I100" s="5">
        <v>1</v>
      </c>
      <c r="J100" s="5">
        <v>1</v>
      </c>
      <c r="K100" s="5">
        <v>1</v>
      </c>
      <c r="L100" s="5">
        <v>0</v>
      </c>
      <c r="M100" s="5"/>
      <c r="N100" s="5">
        <v>2</v>
      </c>
      <c r="O100" s="5">
        <v>1</v>
      </c>
      <c r="P100" s="5">
        <v>2</v>
      </c>
      <c r="Q100" s="5"/>
      <c r="R100" s="5">
        <v>3</v>
      </c>
      <c r="S100" s="5">
        <v>1</v>
      </c>
      <c r="T100" s="5">
        <v>2</v>
      </c>
      <c r="U100" s="5">
        <v>2</v>
      </c>
      <c r="V100" s="5">
        <v>2</v>
      </c>
      <c r="W100" s="5">
        <v>2</v>
      </c>
      <c r="X100" s="5">
        <v>1</v>
      </c>
      <c r="Y100" s="5">
        <v>2</v>
      </c>
      <c r="Z100" s="5"/>
      <c r="AA100" s="5">
        <v>2</v>
      </c>
      <c r="AB100" s="5">
        <v>3</v>
      </c>
      <c r="AC100" s="5">
        <v>2</v>
      </c>
      <c r="AD100" s="5">
        <v>3</v>
      </c>
      <c r="AE100" s="5">
        <v>3</v>
      </c>
      <c r="AF100" s="5">
        <v>2</v>
      </c>
      <c r="AG100" s="5">
        <v>2</v>
      </c>
      <c r="AH100" s="5"/>
      <c r="AI100" s="6" t="s">
        <v>202</v>
      </c>
    </row>
    <row r="101" spans="1:35" ht="12.75" hidden="1" x14ac:dyDescent="0.35">
      <c r="A101" s="37" t="s">
        <v>312</v>
      </c>
      <c r="B101" s="37" t="s">
        <v>314</v>
      </c>
      <c r="C101" s="1">
        <v>45664.648349062496</v>
      </c>
      <c r="D101" s="2" t="s">
        <v>161</v>
      </c>
      <c r="E101" s="2" t="s">
        <v>20</v>
      </c>
      <c r="F101" s="2">
        <v>3</v>
      </c>
      <c r="G101" s="2">
        <v>5</v>
      </c>
      <c r="H101" s="2">
        <v>1</v>
      </c>
      <c r="I101" s="2">
        <v>2</v>
      </c>
      <c r="J101" s="2">
        <v>4</v>
      </c>
      <c r="K101" s="2">
        <v>2</v>
      </c>
      <c r="L101" s="2">
        <v>0</v>
      </c>
      <c r="M101" s="2"/>
      <c r="N101" s="2">
        <v>3</v>
      </c>
      <c r="O101" s="2">
        <v>2</v>
      </c>
      <c r="P101" s="2">
        <v>4</v>
      </c>
      <c r="Q101" s="2" t="s">
        <v>203</v>
      </c>
      <c r="R101" s="2">
        <v>5</v>
      </c>
      <c r="S101" s="2">
        <v>1</v>
      </c>
      <c r="T101" s="2">
        <v>4</v>
      </c>
      <c r="U101" s="2">
        <v>5</v>
      </c>
      <c r="V101" s="2">
        <v>2</v>
      </c>
      <c r="W101" s="2">
        <v>1</v>
      </c>
      <c r="X101" s="2">
        <v>2</v>
      </c>
      <c r="Y101" s="2">
        <v>3</v>
      </c>
      <c r="Z101" s="2"/>
      <c r="AA101" s="2">
        <v>3</v>
      </c>
      <c r="AB101" s="2">
        <v>2</v>
      </c>
      <c r="AC101" s="2">
        <v>4</v>
      </c>
      <c r="AD101" s="2">
        <v>1</v>
      </c>
      <c r="AE101" s="2">
        <v>2</v>
      </c>
      <c r="AF101" s="2">
        <v>5</v>
      </c>
      <c r="AG101" s="2">
        <v>5</v>
      </c>
      <c r="AH101" s="2"/>
      <c r="AI101" s="3"/>
    </row>
    <row r="102" spans="1:35" ht="12.75" x14ac:dyDescent="0.35">
      <c r="A102" s="37" t="s">
        <v>312</v>
      </c>
      <c r="B102" s="37" t="s">
        <v>316</v>
      </c>
      <c r="C102" s="1">
        <v>45664.648433148148</v>
      </c>
      <c r="D102" s="2" t="s">
        <v>30</v>
      </c>
      <c r="E102" s="2" t="s">
        <v>20</v>
      </c>
      <c r="F102" s="2">
        <v>7</v>
      </c>
      <c r="G102" s="2">
        <v>4</v>
      </c>
      <c r="H102" s="2">
        <v>1</v>
      </c>
      <c r="I102" s="2">
        <v>3</v>
      </c>
      <c r="J102" s="2">
        <v>4</v>
      </c>
      <c r="K102" s="2">
        <v>2</v>
      </c>
      <c r="L102" s="2">
        <v>0</v>
      </c>
      <c r="M102" s="2"/>
      <c r="N102" s="2">
        <v>2</v>
      </c>
      <c r="O102" s="2">
        <v>4</v>
      </c>
      <c r="P102" s="2">
        <v>5</v>
      </c>
      <c r="Q102" s="2" t="s">
        <v>164</v>
      </c>
      <c r="R102" s="2">
        <v>5</v>
      </c>
      <c r="S102" s="2">
        <v>2</v>
      </c>
      <c r="T102" s="2">
        <v>5</v>
      </c>
      <c r="U102" s="2">
        <v>5</v>
      </c>
      <c r="V102" s="2">
        <v>4</v>
      </c>
      <c r="W102" s="2">
        <v>1</v>
      </c>
      <c r="X102" s="2">
        <v>1</v>
      </c>
      <c r="Y102" s="2">
        <v>4</v>
      </c>
      <c r="Z102" s="2" t="s">
        <v>104</v>
      </c>
      <c r="AA102" s="2">
        <v>2</v>
      </c>
      <c r="AB102" s="2">
        <v>5</v>
      </c>
      <c r="AC102" s="2">
        <v>4</v>
      </c>
      <c r="AD102" s="2">
        <v>4</v>
      </c>
      <c r="AE102" s="2">
        <v>4</v>
      </c>
      <c r="AF102" s="2">
        <v>4</v>
      </c>
      <c r="AG102" s="2">
        <v>3</v>
      </c>
      <c r="AH102" s="2"/>
      <c r="AI102" s="3"/>
    </row>
    <row r="103" spans="1:35" ht="12.75" hidden="1" x14ac:dyDescent="0.35">
      <c r="A103" s="37" t="s">
        <v>312</v>
      </c>
      <c r="B103" s="37" t="s">
        <v>315</v>
      </c>
      <c r="C103" s="4">
        <v>45664.64932167824</v>
      </c>
      <c r="D103" s="5" t="s">
        <v>173</v>
      </c>
      <c r="E103" s="5" t="s">
        <v>20</v>
      </c>
      <c r="F103" s="5">
        <v>4</v>
      </c>
      <c r="G103" s="5">
        <v>3</v>
      </c>
      <c r="H103" s="5">
        <v>0</v>
      </c>
      <c r="I103" s="5">
        <v>0</v>
      </c>
      <c r="J103" s="5">
        <v>1</v>
      </c>
      <c r="K103" s="5">
        <v>0</v>
      </c>
      <c r="L103" s="5">
        <v>0</v>
      </c>
      <c r="M103" s="5" t="s">
        <v>204</v>
      </c>
      <c r="N103" s="5">
        <v>1</v>
      </c>
      <c r="O103" s="5">
        <v>2</v>
      </c>
      <c r="P103" s="5">
        <v>1</v>
      </c>
      <c r="Q103" s="5"/>
      <c r="R103" s="5">
        <v>3</v>
      </c>
      <c r="S103" s="5">
        <v>3</v>
      </c>
      <c r="T103" s="5">
        <v>1</v>
      </c>
      <c r="U103" s="5">
        <v>2</v>
      </c>
      <c r="V103" s="5">
        <v>1</v>
      </c>
      <c r="W103" s="5">
        <v>2</v>
      </c>
      <c r="X103" s="5">
        <v>2</v>
      </c>
      <c r="Y103" s="5">
        <v>1</v>
      </c>
      <c r="Z103" s="5" t="s">
        <v>205</v>
      </c>
      <c r="AA103" s="5">
        <v>4</v>
      </c>
      <c r="AB103" s="5">
        <v>2</v>
      </c>
      <c r="AC103" s="5">
        <v>3</v>
      </c>
      <c r="AD103" s="5">
        <v>3</v>
      </c>
      <c r="AE103" s="5">
        <v>4</v>
      </c>
      <c r="AF103" s="5">
        <v>4</v>
      </c>
      <c r="AG103" s="5">
        <v>4</v>
      </c>
      <c r="AH103" s="5"/>
      <c r="AI103" s="6"/>
    </row>
    <row r="104" spans="1:35" ht="12.75" x14ac:dyDescent="0.35">
      <c r="A104" s="37" t="s">
        <v>312</v>
      </c>
      <c r="B104" s="37" t="s">
        <v>316</v>
      </c>
      <c r="C104" s="4">
        <v>45664.649609166663</v>
      </c>
      <c r="D104" s="5" t="s">
        <v>16</v>
      </c>
      <c r="E104" s="5" t="s">
        <v>17</v>
      </c>
      <c r="F104" s="5">
        <v>7</v>
      </c>
      <c r="G104" s="5">
        <v>2</v>
      </c>
      <c r="H104" s="5">
        <v>4</v>
      </c>
      <c r="I104" s="5">
        <v>1</v>
      </c>
      <c r="J104" s="5">
        <v>1</v>
      </c>
      <c r="K104" s="5">
        <v>2</v>
      </c>
      <c r="L104" s="5">
        <v>0</v>
      </c>
      <c r="M104" s="5"/>
      <c r="N104" s="5">
        <v>1</v>
      </c>
      <c r="O104" s="5">
        <v>2</v>
      </c>
      <c r="P104" s="5">
        <v>5</v>
      </c>
      <c r="Q104" s="5" t="s">
        <v>206</v>
      </c>
      <c r="R104" s="5">
        <v>3</v>
      </c>
      <c r="S104" s="5">
        <v>5</v>
      </c>
      <c r="T104" s="39" t="s">
        <v>207</v>
      </c>
      <c r="U104" s="5">
        <v>1</v>
      </c>
      <c r="V104" s="5">
        <v>1</v>
      </c>
      <c r="W104" s="5">
        <v>2</v>
      </c>
      <c r="X104" s="5">
        <v>3</v>
      </c>
      <c r="Y104" s="5">
        <v>4</v>
      </c>
      <c r="Z104" s="5"/>
      <c r="AA104" s="5">
        <v>3</v>
      </c>
      <c r="AB104" s="5">
        <v>4</v>
      </c>
      <c r="AC104" s="5">
        <v>5</v>
      </c>
      <c r="AD104" s="5">
        <v>3</v>
      </c>
      <c r="AE104" s="5">
        <v>2</v>
      </c>
      <c r="AF104" s="5">
        <v>2</v>
      </c>
      <c r="AG104" s="5">
        <v>1</v>
      </c>
      <c r="AH104" s="5"/>
      <c r="AI104" s="6"/>
    </row>
    <row r="105" spans="1:35" ht="12.75" hidden="1" x14ac:dyDescent="0.35">
      <c r="A105" s="37" t="s">
        <v>312</v>
      </c>
      <c r="B105" s="37" t="s">
        <v>314</v>
      </c>
      <c r="C105" s="4">
        <v>45664.649964826385</v>
      </c>
      <c r="D105" s="5" t="s">
        <v>99</v>
      </c>
      <c r="E105" s="5" t="s">
        <v>77</v>
      </c>
      <c r="F105" s="5">
        <v>3</v>
      </c>
      <c r="G105" s="5">
        <v>2</v>
      </c>
      <c r="H105" s="5">
        <v>0</v>
      </c>
      <c r="I105" s="5">
        <v>0</v>
      </c>
      <c r="J105" s="5">
        <v>3</v>
      </c>
      <c r="K105" s="5">
        <v>2</v>
      </c>
      <c r="L105" s="5">
        <v>4</v>
      </c>
      <c r="M105" s="5" t="s">
        <v>209</v>
      </c>
      <c r="N105" s="5">
        <v>5</v>
      </c>
      <c r="O105" s="5">
        <v>4</v>
      </c>
      <c r="P105" s="5">
        <v>1</v>
      </c>
      <c r="Q105" s="5" t="s">
        <v>210</v>
      </c>
      <c r="R105" s="5">
        <v>3</v>
      </c>
      <c r="S105" s="5">
        <v>1</v>
      </c>
      <c r="T105" s="5">
        <v>1</v>
      </c>
      <c r="U105" s="5">
        <v>3</v>
      </c>
      <c r="V105" s="5">
        <v>3</v>
      </c>
      <c r="W105" s="5">
        <v>3</v>
      </c>
      <c r="X105" s="5">
        <v>4</v>
      </c>
      <c r="Y105" s="5">
        <v>1</v>
      </c>
      <c r="Z105" s="5" t="s">
        <v>211</v>
      </c>
      <c r="AA105" s="5">
        <v>2</v>
      </c>
      <c r="AB105" s="5">
        <v>2</v>
      </c>
      <c r="AC105" s="5">
        <v>3</v>
      </c>
      <c r="AD105" s="5">
        <v>2</v>
      </c>
      <c r="AE105" s="5">
        <v>2</v>
      </c>
      <c r="AF105" s="5">
        <v>2</v>
      </c>
      <c r="AG105" s="5">
        <v>3</v>
      </c>
      <c r="AH105" s="5" t="s">
        <v>212</v>
      </c>
      <c r="AI105" s="6"/>
    </row>
    <row r="106" spans="1:35" ht="12.75" hidden="1" x14ac:dyDescent="0.35">
      <c r="A106" s="37" t="s">
        <v>312</v>
      </c>
      <c r="B106" s="37" t="s">
        <v>314</v>
      </c>
      <c r="C106" s="1">
        <v>45664.650267337958</v>
      </c>
      <c r="D106" s="2" t="s">
        <v>176</v>
      </c>
      <c r="E106" s="2" t="s">
        <v>20</v>
      </c>
      <c r="F106" s="2">
        <v>3</v>
      </c>
      <c r="G106" s="2">
        <v>2</v>
      </c>
      <c r="H106" s="2">
        <v>1</v>
      </c>
      <c r="I106" s="2">
        <v>0</v>
      </c>
      <c r="J106" s="2">
        <v>1</v>
      </c>
      <c r="K106" s="2">
        <v>0</v>
      </c>
      <c r="L106" s="2">
        <v>0</v>
      </c>
      <c r="M106" s="2" t="s">
        <v>213</v>
      </c>
      <c r="N106" s="2">
        <v>1</v>
      </c>
      <c r="O106" s="2">
        <v>1</v>
      </c>
      <c r="P106" s="2">
        <v>2</v>
      </c>
      <c r="Q106" s="2" t="s">
        <v>179</v>
      </c>
      <c r="R106" s="2">
        <v>2</v>
      </c>
      <c r="S106" s="2">
        <v>2</v>
      </c>
      <c r="T106" s="2">
        <v>1</v>
      </c>
      <c r="U106" s="2">
        <v>1</v>
      </c>
      <c r="V106" s="2">
        <v>1</v>
      </c>
      <c r="W106" s="2">
        <v>1</v>
      </c>
      <c r="X106" s="2">
        <v>1</v>
      </c>
      <c r="Y106" s="2">
        <v>2</v>
      </c>
      <c r="Z106" s="2" t="s">
        <v>179</v>
      </c>
      <c r="AA106" s="2">
        <v>3</v>
      </c>
      <c r="AB106" s="2">
        <v>2</v>
      </c>
      <c r="AC106" s="2">
        <v>1</v>
      </c>
      <c r="AD106" s="2">
        <v>1</v>
      </c>
      <c r="AE106" s="2">
        <v>4</v>
      </c>
      <c r="AF106" s="2">
        <v>4</v>
      </c>
      <c r="AG106" s="2">
        <v>4</v>
      </c>
      <c r="AH106" s="2"/>
      <c r="AI106" s="3"/>
    </row>
    <row r="107" spans="1:35" ht="12.75" hidden="1" x14ac:dyDescent="0.35">
      <c r="A107" s="37" t="s">
        <v>312</v>
      </c>
      <c r="B107" s="37" t="s">
        <v>315</v>
      </c>
      <c r="C107" s="4">
        <v>45664.65034821759</v>
      </c>
      <c r="D107" s="5" t="s">
        <v>180</v>
      </c>
      <c r="E107" s="5" t="s">
        <v>17</v>
      </c>
      <c r="F107" s="5">
        <v>4</v>
      </c>
      <c r="G107" s="5">
        <v>3</v>
      </c>
      <c r="H107" s="5">
        <v>1</v>
      </c>
      <c r="I107" s="5">
        <v>1</v>
      </c>
      <c r="J107" s="5">
        <v>2</v>
      </c>
      <c r="K107" s="5">
        <v>1</v>
      </c>
      <c r="L107" s="5">
        <v>1</v>
      </c>
      <c r="M107" s="5" t="s">
        <v>214</v>
      </c>
      <c r="N107" s="5">
        <v>2</v>
      </c>
      <c r="O107" s="5">
        <v>2</v>
      </c>
      <c r="P107" s="5">
        <v>3</v>
      </c>
      <c r="Q107" s="5"/>
      <c r="R107" s="5">
        <v>4</v>
      </c>
      <c r="S107" s="5">
        <v>3</v>
      </c>
      <c r="T107" s="5">
        <v>3</v>
      </c>
      <c r="U107" s="5">
        <v>3</v>
      </c>
      <c r="V107" s="5">
        <v>2</v>
      </c>
      <c r="W107" s="5">
        <v>2</v>
      </c>
      <c r="X107" s="5">
        <v>2</v>
      </c>
      <c r="Y107" s="5">
        <v>2</v>
      </c>
      <c r="Z107" s="5"/>
      <c r="AA107" s="5">
        <v>3</v>
      </c>
      <c r="AB107" s="5">
        <v>3</v>
      </c>
      <c r="AC107" s="5">
        <v>2</v>
      </c>
      <c r="AD107" s="5">
        <v>2</v>
      </c>
      <c r="AE107" s="5">
        <v>2</v>
      </c>
      <c r="AF107" s="5">
        <v>3</v>
      </c>
      <c r="AG107" s="5">
        <v>3</v>
      </c>
      <c r="AH107" s="5"/>
      <c r="AI107" s="6"/>
    </row>
    <row r="108" spans="1:35" ht="12.75" hidden="1" x14ac:dyDescent="0.35">
      <c r="A108" s="37" t="s">
        <v>312</v>
      </c>
      <c r="B108" s="37" t="s">
        <v>314</v>
      </c>
      <c r="C108" s="4">
        <v>45664.650806898149</v>
      </c>
      <c r="D108" s="5" t="s">
        <v>215</v>
      </c>
      <c r="E108" s="5" t="s">
        <v>20</v>
      </c>
      <c r="F108" s="5">
        <v>3</v>
      </c>
      <c r="G108" s="5">
        <v>4</v>
      </c>
      <c r="H108" s="5">
        <v>3</v>
      </c>
      <c r="I108" s="5">
        <v>4</v>
      </c>
      <c r="J108" s="5">
        <v>4</v>
      </c>
      <c r="K108" s="5">
        <v>3</v>
      </c>
      <c r="L108" s="5">
        <v>0</v>
      </c>
      <c r="M108" s="5"/>
      <c r="N108" s="5">
        <v>2</v>
      </c>
      <c r="O108" s="5">
        <v>3</v>
      </c>
      <c r="P108" s="5">
        <v>3</v>
      </c>
      <c r="Q108" s="5" t="s">
        <v>216</v>
      </c>
      <c r="R108" s="5">
        <v>2</v>
      </c>
      <c r="S108" s="5">
        <v>4</v>
      </c>
      <c r="T108" s="5">
        <v>2</v>
      </c>
      <c r="U108" s="5">
        <v>4</v>
      </c>
      <c r="V108" s="5">
        <v>3</v>
      </c>
      <c r="W108" s="5">
        <v>2</v>
      </c>
      <c r="X108" s="5">
        <v>3</v>
      </c>
      <c r="Y108" s="5">
        <v>4</v>
      </c>
      <c r="Z108" s="5"/>
      <c r="AA108" s="5">
        <v>3</v>
      </c>
      <c r="AB108" s="5">
        <v>3</v>
      </c>
      <c r="AC108" s="5">
        <v>3</v>
      </c>
      <c r="AD108" s="5">
        <v>3</v>
      </c>
      <c r="AE108" s="5">
        <v>4</v>
      </c>
      <c r="AF108" s="5">
        <v>4</v>
      </c>
      <c r="AG108" s="5">
        <v>4</v>
      </c>
      <c r="AH108" s="5"/>
      <c r="AI108" s="6"/>
    </row>
    <row r="109" spans="1:35" ht="12.75" hidden="1" x14ac:dyDescent="0.35">
      <c r="A109" s="37" t="s">
        <v>312</v>
      </c>
      <c r="B109" s="37" t="s">
        <v>315</v>
      </c>
      <c r="C109" s="1">
        <v>45664.650979780097</v>
      </c>
      <c r="D109" s="2" t="s">
        <v>29</v>
      </c>
      <c r="E109" s="2" t="s">
        <v>20</v>
      </c>
      <c r="F109" s="2">
        <v>4</v>
      </c>
      <c r="G109" s="2">
        <v>4</v>
      </c>
      <c r="H109" s="2">
        <v>1</v>
      </c>
      <c r="I109" s="2">
        <v>3</v>
      </c>
      <c r="J109" s="2">
        <v>3</v>
      </c>
      <c r="K109" s="2">
        <v>0</v>
      </c>
      <c r="L109" s="2">
        <v>2</v>
      </c>
      <c r="M109" s="2" t="s">
        <v>37</v>
      </c>
      <c r="N109" s="2">
        <v>1</v>
      </c>
      <c r="O109" s="2">
        <v>3</v>
      </c>
      <c r="P109" s="2">
        <v>4</v>
      </c>
      <c r="Q109" s="2"/>
      <c r="R109" s="2">
        <v>2</v>
      </c>
      <c r="S109" s="2">
        <v>4</v>
      </c>
      <c r="T109" s="2">
        <v>2</v>
      </c>
      <c r="U109" s="2">
        <v>1</v>
      </c>
      <c r="V109" s="2">
        <v>1</v>
      </c>
      <c r="W109" s="2">
        <v>1</v>
      </c>
      <c r="X109" s="2">
        <v>1</v>
      </c>
      <c r="Y109" s="2">
        <v>1</v>
      </c>
      <c r="Z109" s="2"/>
      <c r="AA109" s="2">
        <v>4</v>
      </c>
      <c r="AB109" s="2">
        <v>3</v>
      </c>
      <c r="AC109" s="2">
        <v>2</v>
      </c>
      <c r="AD109" s="2">
        <v>4</v>
      </c>
      <c r="AE109" s="2">
        <v>4</v>
      </c>
      <c r="AF109" s="2">
        <v>4</v>
      </c>
      <c r="AG109" s="2">
        <v>5</v>
      </c>
      <c r="AH109" s="2" t="s">
        <v>217</v>
      </c>
      <c r="AI109" s="3"/>
    </row>
    <row r="110" spans="1:35" ht="12.75" hidden="1" x14ac:dyDescent="0.35">
      <c r="A110" s="37" t="s">
        <v>312</v>
      </c>
      <c r="B110" s="37" t="s">
        <v>314</v>
      </c>
      <c r="C110" s="1">
        <v>45664.651667986109</v>
      </c>
      <c r="D110" s="2" t="s">
        <v>159</v>
      </c>
      <c r="E110" s="2" t="s">
        <v>17</v>
      </c>
      <c r="F110" s="2">
        <v>3</v>
      </c>
      <c r="G110" s="2">
        <v>2</v>
      </c>
      <c r="H110" s="2">
        <v>2</v>
      </c>
      <c r="I110" s="2">
        <v>1</v>
      </c>
      <c r="J110" s="2">
        <v>2</v>
      </c>
      <c r="K110" s="2">
        <v>1</v>
      </c>
      <c r="L110" s="2">
        <v>0</v>
      </c>
      <c r="M110" s="2"/>
      <c r="N110" s="2">
        <v>3</v>
      </c>
      <c r="O110" s="2">
        <v>2</v>
      </c>
      <c r="P110" s="2">
        <v>2</v>
      </c>
      <c r="Q110" s="2"/>
      <c r="R110" s="2">
        <v>3</v>
      </c>
      <c r="S110" s="2">
        <v>2</v>
      </c>
      <c r="T110" s="2">
        <v>2</v>
      </c>
      <c r="U110" s="2">
        <v>3</v>
      </c>
      <c r="V110" s="2">
        <v>2</v>
      </c>
      <c r="W110" s="2">
        <v>2</v>
      </c>
      <c r="X110" s="2">
        <v>2</v>
      </c>
      <c r="Y110" s="2">
        <v>3</v>
      </c>
      <c r="Z110" s="2"/>
      <c r="AA110" s="2">
        <v>1</v>
      </c>
      <c r="AB110" s="2">
        <v>1</v>
      </c>
      <c r="AC110" s="2">
        <v>1</v>
      </c>
      <c r="AD110" s="2">
        <v>2</v>
      </c>
      <c r="AE110" s="2">
        <v>4</v>
      </c>
      <c r="AF110" s="2">
        <v>1</v>
      </c>
      <c r="AG110" s="2">
        <v>2</v>
      </c>
      <c r="AH110" s="2"/>
      <c r="AI110" s="3"/>
    </row>
    <row r="111" spans="1:35" ht="12.75" x14ac:dyDescent="0.35">
      <c r="A111" s="37" t="s">
        <v>312</v>
      </c>
      <c r="B111" s="37" t="s">
        <v>316</v>
      </c>
      <c r="C111" s="4">
        <v>45664.652061203698</v>
      </c>
      <c r="D111" s="5" t="s">
        <v>45</v>
      </c>
      <c r="E111" s="5" t="s">
        <v>17</v>
      </c>
      <c r="F111" s="5">
        <v>7</v>
      </c>
      <c r="G111" s="5">
        <v>4</v>
      </c>
      <c r="H111" s="5">
        <v>0</v>
      </c>
      <c r="I111" s="5">
        <v>2</v>
      </c>
      <c r="J111" s="5">
        <v>3</v>
      </c>
      <c r="K111" s="5">
        <v>0</v>
      </c>
      <c r="L111" s="5">
        <v>2</v>
      </c>
      <c r="M111" s="5" t="s">
        <v>218</v>
      </c>
      <c r="N111" s="5">
        <v>3</v>
      </c>
      <c r="O111" s="5">
        <v>3</v>
      </c>
      <c r="P111" s="5">
        <v>2</v>
      </c>
      <c r="Q111" s="5" t="s">
        <v>164</v>
      </c>
      <c r="R111" s="5">
        <v>4</v>
      </c>
      <c r="S111" s="5">
        <v>1</v>
      </c>
      <c r="T111" s="5">
        <v>3</v>
      </c>
      <c r="U111" s="5">
        <v>4</v>
      </c>
      <c r="V111" s="5">
        <v>1</v>
      </c>
      <c r="W111" s="5">
        <v>3</v>
      </c>
      <c r="X111" s="5">
        <v>2</v>
      </c>
      <c r="Y111" s="5">
        <v>2</v>
      </c>
      <c r="Z111" s="5" t="s">
        <v>219</v>
      </c>
      <c r="AA111" s="5">
        <v>3</v>
      </c>
      <c r="AB111" s="5">
        <v>3</v>
      </c>
      <c r="AC111" s="5">
        <v>4</v>
      </c>
      <c r="AD111" s="5">
        <v>2</v>
      </c>
      <c r="AE111" s="5">
        <v>2</v>
      </c>
      <c r="AF111" s="5">
        <v>2</v>
      </c>
      <c r="AG111" s="5">
        <v>2</v>
      </c>
      <c r="AH111" s="5" t="s">
        <v>220</v>
      </c>
      <c r="AI111" s="6"/>
    </row>
    <row r="112" spans="1:35" ht="12.75" hidden="1" x14ac:dyDescent="0.35">
      <c r="A112" s="37" t="s">
        <v>312</v>
      </c>
      <c r="B112" s="37" t="s">
        <v>314</v>
      </c>
      <c r="C112" s="1">
        <v>45664.652454641204</v>
      </c>
      <c r="D112" s="2" t="s">
        <v>143</v>
      </c>
      <c r="E112" s="2" t="s">
        <v>77</v>
      </c>
      <c r="F112" s="2">
        <v>3</v>
      </c>
      <c r="G112" s="2">
        <v>2</v>
      </c>
      <c r="H112" s="2">
        <v>1</v>
      </c>
      <c r="I112" s="2">
        <v>0</v>
      </c>
      <c r="J112" s="2">
        <v>2</v>
      </c>
      <c r="K112" s="2">
        <v>0</v>
      </c>
      <c r="L112" s="2">
        <v>0</v>
      </c>
      <c r="M112" s="2"/>
      <c r="N112" s="2">
        <v>3</v>
      </c>
      <c r="O112" s="2">
        <v>1</v>
      </c>
      <c r="P112" s="2">
        <v>1</v>
      </c>
      <c r="Q112" s="2" t="s">
        <v>221</v>
      </c>
      <c r="R112" s="2">
        <v>2</v>
      </c>
      <c r="S112" s="2">
        <v>3</v>
      </c>
      <c r="T112" s="2">
        <v>1</v>
      </c>
      <c r="U112" s="2">
        <v>3</v>
      </c>
      <c r="V112" s="2">
        <v>1</v>
      </c>
      <c r="W112" s="2" t="s">
        <v>59</v>
      </c>
      <c r="X112" s="2">
        <v>1</v>
      </c>
      <c r="Y112" s="2">
        <v>1</v>
      </c>
      <c r="Z112" s="2"/>
      <c r="AA112" s="2">
        <v>3</v>
      </c>
      <c r="AB112" s="2">
        <v>3</v>
      </c>
      <c r="AC112" s="2">
        <v>2</v>
      </c>
      <c r="AD112" s="2">
        <v>1</v>
      </c>
      <c r="AE112" s="2">
        <v>3</v>
      </c>
      <c r="AF112" s="2">
        <v>3</v>
      </c>
      <c r="AG112" s="2">
        <v>3</v>
      </c>
      <c r="AH112" s="2" t="s">
        <v>222</v>
      </c>
      <c r="AI112" s="3"/>
    </row>
    <row r="113" spans="1:35" ht="12.75" x14ac:dyDescent="0.35">
      <c r="A113" s="37" t="s">
        <v>312</v>
      </c>
      <c r="B113" s="37" t="s">
        <v>316</v>
      </c>
      <c r="C113" s="1">
        <v>45664.652719571764</v>
      </c>
      <c r="D113" s="2" t="s">
        <v>23</v>
      </c>
      <c r="E113" s="2" t="s">
        <v>20</v>
      </c>
      <c r="F113" s="2">
        <v>7</v>
      </c>
      <c r="G113" s="2">
        <v>3</v>
      </c>
      <c r="H113" s="2">
        <v>2</v>
      </c>
      <c r="I113" s="2">
        <v>0</v>
      </c>
      <c r="J113" s="2">
        <v>3</v>
      </c>
      <c r="K113" s="2">
        <v>1</v>
      </c>
      <c r="L113" s="2">
        <v>0</v>
      </c>
      <c r="M113" s="2"/>
      <c r="N113" s="2">
        <v>4</v>
      </c>
      <c r="O113" s="2">
        <v>4</v>
      </c>
      <c r="P113" s="2">
        <v>4</v>
      </c>
      <c r="Q113" s="2" t="s">
        <v>223</v>
      </c>
      <c r="R113" s="2">
        <v>1</v>
      </c>
      <c r="S113" s="2">
        <v>3</v>
      </c>
      <c r="T113" s="2">
        <v>2</v>
      </c>
      <c r="U113" s="2">
        <v>3</v>
      </c>
      <c r="V113" s="2">
        <v>3</v>
      </c>
      <c r="W113" s="2">
        <v>4</v>
      </c>
      <c r="X113" s="2">
        <v>4</v>
      </c>
      <c r="Y113" s="2">
        <v>2</v>
      </c>
      <c r="Z113" s="2"/>
      <c r="AA113" s="2">
        <v>4</v>
      </c>
      <c r="AB113" s="2">
        <v>1</v>
      </c>
      <c r="AC113" s="2">
        <v>1</v>
      </c>
      <c r="AD113" s="2">
        <v>1</v>
      </c>
      <c r="AE113" s="2">
        <v>4</v>
      </c>
      <c r="AF113" s="2">
        <v>4</v>
      </c>
      <c r="AG113" s="2">
        <v>4</v>
      </c>
      <c r="AH113" s="2"/>
      <c r="AI113" s="3"/>
    </row>
    <row r="114" spans="1:35" ht="12.75" hidden="1" x14ac:dyDescent="0.35">
      <c r="A114" s="37" t="s">
        <v>312</v>
      </c>
      <c r="B114" s="37" t="s">
        <v>315</v>
      </c>
      <c r="C114" s="1">
        <v>45664.652962407403</v>
      </c>
      <c r="D114" s="2" t="s">
        <v>201</v>
      </c>
      <c r="E114" s="2" t="s">
        <v>20</v>
      </c>
      <c r="F114" s="2">
        <v>4</v>
      </c>
      <c r="G114" s="2">
        <v>2</v>
      </c>
      <c r="H114" s="2">
        <v>0</v>
      </c>
      <c r="I114" s="2">
        <v>1</v>
      </c>
      <c r="J114" s="2">
        <v>2</v>
      </c>
      <c r="K114" s="2">
        <v>0</v>
      </c>
      <c r="L114" s="2">
        <v>0</v>
      </c>
      <c r="M114" s="2"/>
      <c r="N114" s="2">
        <v>2</v>
      </c>
      <c r="O114" s="2">
        <v>1</v>
      </c>
      <c r="P114" s="2">
        <v>2</v>
      </c>
      <c r="Q114" s="2"/>
      <c r="R114" s="2">
        <v>4</v>
      </c>
      <c r="S114" s="2">
        <v>1</v>
      </c>
      <c r="T114" s="2">
        <v>3</v>
      </c>
      <c r="U114" s="2">
        <v>4</v>
      </c>
      <c r="V114" s="2">
        <v>2</v>
      </c>
      <c r="W114" s="2">
        <v>2</v>
      </c>
      <c r="X114" s="2">
        <v>2</v>
      </c>
      <c r="Y114" s="2">
        <v>2</v>
      </c>
      <c r="Z114" s="2" t="s">
        <v>224</v>
      </c>
      <c r="AA114" s="2">
        <v>2</v>
      </c>
      <c r="AB114" s="2">
        <v>4</v>
      </c>
      <c r="AC114" s="2">
        <v>4</v>
      </c>
      <c r="AD114" s="2">
        <v>2</v>
      </c>
      <c r="AE114" s="2">
        <v>3</v>
      </c>
      <c r="AF114" s="2">
        <v>3</v>
      </c>
      <c r="AG114" s="2">
        <v>3</v>
      </c>
      <c r="AH114" s="2"/>
      <c r="AI114" s="3"/>
    </row>
    <row r="115" spans="1:35" ht="12.75" x14ac:dyDescent="0.35">
      <c r="A115" s="37" t="s">
        <v>312</v>
      </c>
      <c r="B115" s="37" t="s">
        <v>316</v>
      </c>
      <c r="C115" s="4">
        <v>45664.653220092594</v>
      </c>
      <c r="D115" s="5" t="s">
        <v>133</v>
      </c>
      <c r="E115" s="5" t="s">
        <v>20</v>
      </c>
      <c r="F115" s="5">
        <v>7</v>
      </c>
      <c r="G115" s="5">
        <v>2</v>
      </c>
      <c r="H115" s="5">
        <v>3</v>
      </c>
      <c r="I115" s="5">
        <v>2</v>
      </c>
      <c r="J115" s="5">
        <v>1</v>
      </c>
      <c r="K115" s="5">
        <v>0</v>
      </c>
      <c r="L115" s="5">
        <v>0</v>
      </c>
      <c r="M115" s="5" t="s">
        <v>218</v>
      </c>
      <c r="N115" s="5">
        <v>1</v>
      </c>
      <c r="O115" s="5">
        <v>1</v>
      </c>
      <c r="P115" s="5">
        <v>2</v>
      </c>
      <c r="Q115" s="5"/>
      <c r="R115" s="5">
        <v>4</v>
      </c>
      <c r="S115" s="5">
        <v>4</v>
      </c>
      <c r="T115" s="5">
        <v>3</v>
      </c>
      <c r="U115" s="5">
        <v>1</v>
      </c>
      <c r="V115" s="5">
        <v>1</v>
      </c>
      <c r="W115" s="5">
        <v>1</v>
      </c>
      <c r="X115" s="5">
        <v>1</v>
      </c>
      <c r="Y115" s="5">
        <v>2</v>
      </c>
      <c r="Z115" s="5" t="s">
        <v>226</v>
      </c>
      <c r="AA115" s="5">
        <v>2</v>
      </c>
      <c r="AB115" s="5">
        <v>4</v>
      </c>
      <c r="AC115" s="5">
        <v>3</v>
      </c>
      <c r="AD115" s="5">
        <v>3</v>
      </c>
      <c r="AE115" s="5">
        <v>1</v>
      </c>
      <c r="AF115" s="5">
        <v>1</v>
      </c>
      <c r="AG115" s="5">
        <v>1</v>
      </c>
      <c r="AH115" s="5" t="s">
        <v>227</v>
      </c>
      <c r="AI115" s="6"/>
    </row>
    <row r="116" spans="1:35" ht="12.75" x14ac:dyDescent="0.35">
      <c r="A116" s="37" t="s">
        <v>312</v>
      </c>
      <c r="B116" s="37" t="s">
        <v>316</v>
      </c>
      <c r="C116" s="4">
        <v>45664.653378923613</v>
      </c>
      <c r="D116" s="5" t="s">
        <v>33</v>
      </c>
      <c r="E116" s="5" t="s">
        <v>20</v>
      </c>
      <c r="F116" s="5">
        <v>7</v>
      </c>
      <c r="G116" s="5">
        <v>3</v>
      </c>
      <c r="H116" s="5">
        <v>4</v>
      </c>
      <c r="I116" s="5">
        <v>5</v>
      </c>
      <c r="J116" s="5">
        <v>4</v>
      </c>
      <c r="K116" s="39" t="s">
        <v>228</v>
      </c>
      <c r="L116" s="5">
        <v>0</v>
      </c>
      <c r="M116" s="5" t="s">
        <v>203</v>
      </c>
      <c r="N116" s="5">
        <v>2</v>
      </c>
      <c r="O116" s="5">
        <v>1</v>
      </c>
      <c r="P116" s="5">
        <v>3</v>
      </c>
      <c r="Q116" s="5"/>
      <c r="R116" s="5">
        <v>4</v>
      </c>
      <c r="S116" s="5">
        <v>1</v>
      </c>
      <c r="T116" s="5">
        <v>5</v>
      </c>
      <c r="U116" s="5">
        <v>4</v>
      </c>
      <c r="V116" s="5">
        <v>3</v>
      </c>
      <c r="W116" s="5">
        <v>1</v>
      </c>
      <c r="X116" s="5">
        <v>3</v>
      </c>
      <c r="Y116" s="5">
        <v>4</v>
      </c>
      <c r="Z116" s="5"/>
      <c r="AA116" s="5">
        <v>3</v>
      </c>
      <c r="AB116" s="5">
        <v>3</v>
      </c>
      <c r="AC116" s="5">
        <v>5</v>
      </c>
      <c r="AD116" s="5">
        <v>4</v>
      </c>
      <c r="AE116" s="5">
        <v>4</v>
      </c>
      <c r="AF116" s="5">
        <v>3</v>
      </c>
      <c r="AG116" s="5">
        <v>3</v>
      </c>
      <c r="AH116" s="5"/>
      <c r="AI116" s="6"/>
    </row>
    <row r="117" spans="1:35" ht="12.75" hidden="1" x14ac:dyDescent="0.35">
      <c r="A117" s="37" t="s">
        <v>312</v>
      </c>
      <c r="B117" s="37" t="s">
        <v>314</v>
      </c>
      <c r="C117" s="1">
        <v>45664.653742222217</v>
      </c>
      <c r="D117" s="2" t="s">
        <v>127</v>
      </c>
      <c r="E117" s="2" t="s">
        <v>20</v>
      </c>
      <c r="F117" s="2">
        <v>3</v>
      </c>
      <c r="G117" s="2">
        <v>2</v>
      </c>
      <c r="H117" s="2">
        <v>2</v>
      </c>
      <c r="I117" s="2">
        <v>1</v>
      </c>
      <c r="J117" s="2">
        <v>1</v>
      </c>
      <c r="K117" s="2">
        <v>2</v>
      </c>
      <c r="L117" s="2">
        <v>3</v>
      </c>
      <c r="M117" s="2" t="s">
        <v>229</v>
      </c>
      <c r="N117" s="2">
        <v>3</v>
      </c>
      <c r="O117" s="2">
        <v>2</v>
      </c>
      <c r="P117" s="2">
        <v>1</v>
      </c>
      <c r="Q117" s="2" t="s">
        <v>230</v>
      </c>
      <c r="R117" s="2">
        <v>3</v>
      </c>
      <c r="S117" s="2">
        <v>3</v>
      </c>
      <c r="T117" s="2">
        <v>2</v>
      </c>
      <c r="U117" s="2">
        <v>2</v>
      </c>
      <c r="V117" s="2">
        <v>2</v>
      </c>
      <c r="W117" s="2">
        <v>3</v>
      </c>
      <c r="X117" s="2">
        <v>2</v>
      </c>
      <c r="Y117" s="2">
        <v>1</v>
      </c>
      <c r="Z117" s="2" t="s">
        <v>231</v>
      </c>
      <c r="AA117" s="2">
        <v>3</v>
      </c>
      <c r="AB117" s="2">
        <v>4</v>
      </c>
      <c r="AC117" s="2">
        <v>3</v>
      </c>
      <c r="AD117" s="2">
        <v>3</v>
      </c>
      <c r="AE117" s="2">
        <v>3</v>
      </c>
      <c r="AF117" s="2">
        <v>3</v>
      </c>
      <c r="AG117" s="2">
        <v>3</v>
      </c>
      <c r="AH117" s="2" t="s">
        <v>232</v>
      </c>
      <c r="AI117" s="3"/>
    </row>
    <row r="118" spans="1:35" ht="12.75" x14ac:dyDescent="0.35">
      <c r="A118" s="37" t="s">
        <v>312</v>
      </c>
      <c r="B118" s="37" t="s">
        <v>316</v>
      </c>
      <c r="C118" s="1">
        <v>45664.654018530091</v>
      </c>
      <c r="D118" s="2" t="s">
        <v>85</v>
      </c>
      <c r="E118" s="2" t="s">
        <v>20</v>
      </c>
      <c r="F118" s="2">
        <v>7</v>
      </c>
      <c r="G118" s="2">
        <v>5</v>
      </c>
      <c r="H118" s="2">
        <v>4</v>
      </c>
      <c r="I118" s="2">
        <v>3</v>
      </c>
      <c r="J118" s="2">
        <v>2</v>
      </c>
      <c r="K118" s="2">
        <v>1</v>
      </c>
      <c r="L118" s="2">
        <v>4</v>
      </c>
      <c r="M118" s="2" t="s">
        <v>233</v>
      </c>
      <c r="N118" s="2">
        <v>1</v>
      </c>
      <c r="O118" s="2">
        <v>1</v>
      </c>
      <c r="P118" s="2">
        <v>3</v>
      </c>
      <c r="Q118" s="2" t="s">
        <v>234</v>
      </c>
      <c r="R118" s="2">
        <v>5</v>
      </c>
      <c r="S118" s="2">
        <v>4</v>
      </c>
      <c r="T118" s="2">
        <v>5</v>
      </c>
      <c r="U118" s="2">
        <v>3</v>
      </c>
      <c r="V118" s="2">
        <v>1</v>
      </c>
      <c r="W118" s="2">
        <v>1</v>
      </c>
      <c r="X118" s="2">
        <v>1</v>
      </c>
      <c r="Y118" s="2">
        <v>4</v>
      </c>
      <c r="Z118" s="2" t="s">
        <v>235</v>
      </c>
      <c r="AA118" s="2">
        <v>2</v>
      </c>
      <c r="AB118" s="2">
        <v>4</v>
      </c>
      <c r="AC118" s="2">
        <v>4</v>
      </c>
      <c r="AD118" s="2">
        <v>4</v>
      </c>
      <c r="AE118" s="2">
        <v>3</v>
      </c>
      <c r="AF118" s="2">
        <v>3</v>
      </c>
      <c r="AG118" s="2">
        <v>3</v>
      </c>
      <c r="AH118" s="2"/>
      <c r="AI118" s="3" t="s">
        <v>236</v>
      </c>
    </row>
    <row r="119" spans="1:35" ht="12.75" x14ac:dyDescent="0.35">
      <c r="A119" s="37" t="s">
        <v>312</v>
      </c>
      <c r="B119" s="37" t="s">
        <v>316</v>
      </c>
      <c r="C119" s="1">
        <v>45664.654169490736</v>
      </c>
      <c r="D119" s="2" t="s">
        <v>39</v>
      </c>
      <c r="E119" s="2" t="s">
        <v>20</v>
      </c>
      <c r="F119" s="2">
        <v>7</v>
      </c>
      <c r="G119" s="2">
        <v>3</v>
      </c>
      <c r="H119" s="2">
        <v>3</v>
      </c>
      <c r="I119" s="2">
        <v>3</v>
      </c>
      <c r="J119" s="2">
        <v>2</v>
      </c>
      <c r="K119" s="2">
        <v>0</v>
      </c>
      <c r="L119" s="2">
        <v>0</v>
      </c>
      <c r="M119" s="2" t="s">
        <v>112</v>
      </c>
      <c r="N119" s="2">
        <v>2</v>
      </c>
      <c r="O119" s="2">
        <v>3</v>
      </c>
      <c r="P119" s="2">
        <v>2</v>
      </c>
      <c r="Q119" s="2"/>
      <c r="R119" s="2">
        <v>4</v>
      </c>
      <c r="S119" s="2">
        <v>4</v>
      </c>
      <c r="T119" s="2">
        <v>4</v>
      </c>
      <c r="U119" s="2">
        <v>3</v>
      </c>
      <c r="V119" s="2">
        <v>1</v>
      </c>
      <c r="W119" s="2">
        <v>3</v>
      </c>
      <c r="X119" s="2">
        <v>3</v>
      </c>
      <c r="Y119" s="2">
        <v>3</v>
      </c>
      <c r="Z119" s="2"/>
      <c r="AA119" s="2">
        <v>3</v>
      </c>
      <c r="AB119" s="2">
        <v>4</v>
      </c>
      <c r="AC119" s="2">
        <v>4</v>
      </c>
      <c r="AD119" s="38" t="s">
        <v>59</v>
      </c>
      <c r="AE119" s="2">
        <v>3</v>
      </c>
      <c r="AF119" s="2">
        <v>3</v>
      </c>
      <c r="AG119" s="2">
        <v>3</v>
      </c>
      <c r="AH119" s="2"/>
      <c r="AI119" s="3"/>
    </row>
    <row r="120" spans="1:35" ht="12.75" x14ac:dyDescent="0.35">
      <c r="A120" s="37" t="s">
        <v>312</v>
      </c>
      <c r="B120" s="37" t="s">
        <v>316</v>
      </c>
      <c r="C120" s="1">
        <v>45664.654679537038</v>
      </c>
      <c r="D120" s="2" t="s">
        <v>115</v>
      </c>
      <c r="E120" s="2" t="s">
        <v>17</v>
      </c>
      <c r="F120" s="2">
        <v>7</v>
      </c>
      <c r="G120" s="2">
        <v>4</v>
      </c>
      <c r="H120" s="2">
        <v>3</v>
      </c>
      <c r="I120" s="2">
        <v>1</v>
      </c>
      <c r="J120" s="2">
        <v>2</v>
      </c>
      <c r="K120" s="2">
        <v>3</v>
      </c>
      <c r="L120" s="2">
        <v>0</v>
      </c>
      <c r="M120" s="2"/>
      <c r="N120" s="2">
        <v>3</v>
      </c>
      <c r="O120" s="2">
        <v>5</v>
      </c>
      <c r="P120" s="2">
        <v>4</v>
      </c>
      <c r="Q120" s="2"/>
      <c r="R120" s="2">
        <v>5</v>
      </c>
      <c r="S120" s="2">
        <v>5</v>
      </c>
      <c r="T120" s="2">
        <v>1</v>
      </c>
      <c r="U120" s="2">
        <v>1</v>
      </c>
      <c r="V120" s="2">
        <v>2</v>
      </c>
      <c r="W120" s="2">
        <v>5</v>
      </c>
      <c r="X120" s="2">
        <v>3</v>
      </c>
      <c r="Y120" s="2">
        <v>2</v>
      </c>
      <c r="Z120" s="2"/>
      <c r="AA120" s="2">
        <v>2</v>
      </c>
      <c r="AB120" s="2">
        <v>5</v>
      </c>
      <c r="AC120" s="2">
        <v>1</v>
      </c>
      <c r="AD120" s="2">
        <v>4</v>
      </c>
      <c r="AE120" s="2">
        <v>1</v>
      </c>
      <c r="AF120" s="2">
        <v>1</v>
      </c>
      <c r="AG120" s="2">
        <v>1</v>
      </c>
      <c r="AH120" s="2"/>
      <c r="AI120" s="3"/>
    </row>
    <row r="121" spans="1:35" ht="12.75" x14ac:dyDescent="0.35">
      <c r="A121" s="37" t="s">
        <v>312</v>
      </c>
      <c r="B121" s="37" t="s">
        <v>316</v>
      </c>
      <c r="C121" s="4">
        <v>45664.654994502314</v>
      </c>
      <c r="D121" s="5" t="s">
        <v>71</v>
      </c>
      <c r="E121" s="5" t="s">
        <v>20</v>
      </c>
      <c r="F121" s="5">
        <v>7</v>
      </c>
      <c r="G121" s="5">
        <v>4</v>
      </c>
      <c r="H121" s="5">
        <v>4</v>
      </c>
      <c r="I121" s="5">
        <v>3</v>
      </c>
      <c r="J121" s="5">
        <v>4</v>
      </c>
      <c r="K121" s="5">
        <v>1</v>
      </c>
      <c r="L121" s="5">
        <v>0</v>
      </c>
      <c r="M121" s="5"/>
      <c r="N121" s="5">
        <v>3</v>
      </c>
      <c r="O121" s="5">
        <v>2</v>
      </c>
      <c r="P121" s="5">
        <v>4</v>
      </c>
      <c r="Q121" s="5" t="s">
        <v>238</v>
      </c>
      <c r="R121" s="5">
        <v>5</v>
      </c>
      <c r="S121" s="5">
        <v>4</v>
      </c>
      <c r="T121" s="5">
        <v>5</v>
      </c>
      <c r="U121" s="5">
        <v>5</v>
      </c>
      <c r="V121" s="5">
        <v>3</v>
      </c>
      <c r="W121" s="5">
        <v>2</v>
      </c>
      <c r="X121" s="5">
        <v>1</v>
      </c>
      <c r="Y121" s="5">
        <v>3</v>
      </c>
      <c r="Z121" s="5"/>
      <c r="AA121" s="5">
        <v>3</v>
      </c>
      <c r="AB121" s="5">
        <v>4</v>
      </c>
      <c r="AC121" s="5">
        <v>5</v>
      </c>
      <c r="AD121" s="5">
        <v>4</v>
      </c>
      <c r="AE121" s="5">
        <v>2</v>
      </c>
      <c r="AF121" s="5">
        <v>2</v>
      </c>
      <c r="AG121" s="5">
        <v>2</v>
      </c>
      <c r="AH121" s="5"/>
      <c r="AI121" s="6"/>
    </row>
    <row r="122" spans="1:35" ht="12.75" hidden="1" x14ac:dyDescent="0.35">
      <c r="A122" s="37" t="s">
        <v>312</v>
      </c>
      <c r="B122" s="37" t="s">
        <v>315</v>
      </c>
      <c r="C122" s="1">
        <v>45664.655016840275</v>
      </c>
      <c r="D122" s="2" t="s">
        <v>99</v>
      </c>
      <c r="E122" s="2" t="s">
        <v>77</v>
      </c>
      <c r="F122" s="2">
        <v>4</v>
      </c>
      <c r="G122" s="2">
        <v>1</v>
      </c>
      <c r="H122" s="2">
        <v>4</v>
      </c>
      <c r="I122" s="2">
        <v>0</v>
      </c>
      <c r="J122" s="2">
        <v>3</v>
      </c>
      <c r="K122" s="2">
        <v>2</v>
      </c>
      <c r="L122" s="2">
        <v>4</v>
      </c>
      <c r="M122" s="2" t="s">
        <v>239</v>
      </c>
      <c r="N122" s="2">
        <v>4</v>
      </c>
      <c r="O122" s="2">
        <v>1</v>
      </c>
      <c r="P122" s="2">
        <v>1</v>
      </c>
      <c r="Q122" s="2" t="s">
        <v>240</v>
      </c>
      <c r="R122" s="2">
        <v>5</v>
      </c>
      <c r="S122" s="2">
        <v>3</v>
      </c>
      <c r="T122" s="2">
        <v>1</v>
      </c>
      <c r="U122" s="2">
        <v>5</v>
      </c>
      <c r="V122" s="2">
        <v>4</v>
      </c>
      <c r="W122" s="2">
        <v>1</v>
      </c>
      <c r="X122" s="2">
        <v>2</v>
      </c>
      <c r="Y122" s="2">
        <v>4</v>
      </c>
      <c r="Z122" s="2" t="s">
        <v>64</v>
      </c>
      <c r="AA122" s="2">
        <v>3</v>
      </c>
      <c r="AB122" s="2">
        <v>3</v>
      </c>
      <c r="AC122" s="2">
        <v>4</v>
      </c>
      <c r="AD122" s="2">
        <v>3</v>
      </c>
      <c r="AE122" s="2">
        <v>3</v>
      </c>
      <c r="AF122" s="2">
        <v>3</v>
      </c>
      <c r="AG122" s="2">
        <v>3</v>
      </c>
      <c r="AH122" s="2"/>
      <c r="AI122" s="3" t="s">
        <v>241</v>
      </c>
    </row>
    <row r="123" spans="1:35" ht="12.75" hidden="1" x14ac:dyDescent="0.35">
      <c r="A123" s="37" t="s">
        <v>312</v>
      </c>
      <c r="B123" s="37" t="s">
        <v>315</v>
      </c>
      <c r="C123" s="4">
        <v>45664.655169363425</v>
      </c>
      <c r="D123" s="5" t="s">
        <v>159</v>
      </c>
      <c r="E123" s="5" t="s">
        <v>17</v>
      </c>
      <c r="F123" s="5">
        <v>4</v>
      </c>
      <c r="G123" s="5">
        <v>3</v>
      </c>
      <c r="H123" s="5">
        <v>1</v>
      </c>
      <c r="I123" s="5">
        <v>1</v>
      </c>
      <c r="J123" s="5">
        <v>2</v>
      </c>
      <c r="K123" s="5">
        <v>2</v>
      </c>
      <c r="L123" s="5">
        <v>0</v>
      </c>
      <c r="M123" s="5"/>
      <c r="N123" s="5">
        <v>3</v>
      </c>
      <c r="O123" s="5">
        <v>2</v>
      </c>
      <c r="P123" s="5">
        <v>3</v>
      </c>
      <c r="Q123" s="5"/>
      <c r="R123" s="5">
        <v>3</v>
      </c>
      <c r="S123" s="5">
        <v>2</v>
      </c>
      <c r="T123" s="5">
        <v>1</v>
      </c>
      <c r="U123" s="5">
        <v>3</v>
      </c>
      <c r="V123" s="5">
        <v>2</v>
      </c>
      <c r="W123" s="5">
        <v>2</v>
      </c>
      <c r="X123" s="5">
        <v>2</v>
      </c>
      <c r="Y123" s="5">
        <v>3</v>
      </c>
      <c r="Z123" s="5"/>
      <c r="AA123" s="5">
        <v>4</v>
      </c>
      <c r="AB123" s="5">
        <v>2</v>
      </c>
      <c r="AC123" s="5">
        <v>2</v>
      </c>
      <c r="AD123" s="5">
        <v>2</v>
      </c>
      <c r="AE123" s="5">
        <v>5</v>
      </c>
      <c r="AF123" s="5">
        <v>4</v>
      </c>
      <c r="AG123" s="5">
        <v>4</v>
      </c>
      <c r="AH123" s="5"/>
      <c r="AI123" s="6"/>
    </row>
    <row r="124" spans="1:35" ht="12.75" x14ac:dyDescent="0.35">
      <c r="A124" s="37" t="s">
        <v>312</v>
      </c>
      <c r="B124" s="37" t="s">
        <v>316</v>
      </c>
      <c r="C124" s="1">
        <v>45664.65554511574</v>
      </c>
      <c r="D124" s="2" t="s">
        <v>176</v>
      </c>
      <c r="E124" s="2" t="s">
        <v>20</v>
      </c>
      <c r="F124" s="2">
        <v>7</v>
      </c>
      <c r="G124" s="2">
        <v>4</v>
      </c>
      <c r="H124" s="2">
        <v>4</v>
      </c>
      <c r="I124" s="2">
        <v>1</v>
      </c>
      <c r="J124" s="2">
        <v>2</v>
      </c>
      <c r="K124" s="2">
        <v>0</v>
      </c>
      <c r="L124" s="2">
        <v>0</v>
      </c>
      <c r="M124" s="2" t="s">
        <v>242</v>
      </c>
      <c r="N124" s="2">
        <v>1</v>
      </c>
      <c r="O124" s="2">
        <v>1</v>
      </c>
      <c r="P124" s="2">
        <v>3</v>
      </c>
      <c r="Q124" s="2" t="s">
        <v>179</v>
      </c>
      <c r="R124" s="2">
        <v>4</v>
      </c>
      <c r="S124" s="2">
        <v>4</v>
      </c>
      <c r="T124" s="2">
        <v>1</v>
      </c>
      <c r="U124" s="2">
        <v>1</v>
      </c>
      <c r="V124" s="2">
        <v>1</v>
      </c>
      <c r="W124" s="2">
        <v>1</v>
      </c>
      <c r="X124" s="2">
        <v>1</v>
      </c>
      <c r="Y124" s="2">
        <v>2</v>
      </c>
      <c r="Z124" s="2" t="s">
        <v>243</v>
      </c>
      <c r="AA124" s="2">
        <v>2</v>
      </c>
      <c r="AB124" s="2">
        <v>5</v>
      </c>
      <c r="AC124" s="2">
        <v>4</v>
      </c>
      <c r="AD124" s="2">
        <v>2</v>
      </c>
      <c r="AE124" s="2">
        <v>3</v>
      </c>
      <c r="AF124" s="2">
        <v>3</v>
      </c>
      <c r="AG124" s="2">
        <v>3</v>
      </c>
      <c r="AH124" s="2"/>
      <c r="AI124" s="3"/>
    </row>
    <row r="125" spans="1:35" ht="12.75" x14ac:dyDescent="0.35">
      <c r="A125" s="37" t="s">
        <v>312</v>
      </c>
      <c r="B125" s="37" t="s">
        <v>316</v>
      </c>
      <c r="C125" s="4">
        <v>45664.65561804398</v>
      </c>
      <c r="D125" s="5" t="s">
        <v>81</v>
      </c>
      <c r="E125" s="5" t="s">
        <v>20</v>
      </c>
      <c r="F125" s="5">
        <v>7</v>
      </c>
      <c r="G125" s="5">
        <v>1</v>
      </c>
      <c r="H125" s="5">
        <v>1</v>
      </c>
      <c r="I125" s="5">
        <v>0</v>
      </c>
      <c r="J125" s="5">
        <v>0</v>
      </c>
      <c r="K125" s="5">
        <v>1</v>
      </c>
      <c r="L125" s="5">
        <v>0</v>
      </c>
      <c r="M125" s="5"/>
      <c r="N125" s="5">
        <v>1</v>
      </c>
      <c r="O125" s="5">
        <v>2</v>
      </c>
      <c r="P125" s="5">
        <v>1</v>
      </c>
      <c r="Q125" s="5"/>
      <c r="R125" s="5">
        <v>4</v>
      </c>
      <c r="S125" s="5">
        <v>2</v>
      </c>
      <c r="T125" s="5">
        <v>1</v>
      </c>
      <c r="U125" s="5">
        <v>1</v>
      </c>
      <c r="V125" s="5">
        <v>2</v>
      </c>
      <c r="W125" s="5">
        <v>1</v>
      </c>
      <c r="X125" s="5">
        <v>2</v>
      </c>
      <c r="Y125" s="5">
        <v>1</v>
      </c>
      <c r="Z125" s="5"/>
      <c r="AA125" s="5">
        <v>2</v>
      </c>
      <c r="AB125" s="5">
        <v>2</v>
      </c>
      <c r="AC125" s="5">
        <v>1</v>
      </c>
      <c r="AD125" s="5">
        <v>0</v>
      </c>
      <c r="AE125" s="5">
        <v>2</v>
      </c>
      <c r="AF125" s="5">
        <v>3</v>
      </c>
      <c r="AG125" s="5">
        <v>4</v>
      </c>
      <c r="AH125" s="5"/>
      <c r="AI125" s="6"/>
    </row>
    <row r="126" spans="1:35" ht="12.75" hidden="1" x14ac:dyDescent="0.35">
      <c r="A126" s="37" t="s">
        <v>312</v>
      </c>
      <c r="B126" s="37" t="s">
        <v>315</v>
      </c>
      <c r="C126" s="1">
        <v>45664.65590633102</v>
      </c>
      <c r="D126" s="2" t="s">
        <v>143</v>
      </c>
      <c r="E126" s="2" t="s">
        <v>77</v>
      </c>
      <c r="F126" s="2">
        <v>4</v>
      </c>
      <c r="G126" s="2" t="s">
        <v>59</v>
      </c>
      <c r="H126" s="2" t="s">
        <v>56</v>
      </c>
      <c r="I126" s="2">
        <v>0</v>
      </c>
      <c r="J126" s="2">
        <v>4</v>
      </c>
      <c r="K126" s="2">
        <v>0</v>
      </c>
      <c r="L126" s="2">
        <v>1</v>
      </c>
      <c r="M126" s="2" t="s">
        <v>244</v>
      </c>
      <c r="N126" s="2">
        <v>2</v>
      </c>
      <c r="O126" s="2">
        <v>1</v>
      </c>
      <c r="P126" s="2">
        <v>1</v>
      </c>
      <c r="Q126" s="2"/>
      <c r="R126" s="2">
        <v>2</v>
      </c>
      <c r="S126" s="2">
        <v>3</v>
      </c>
      <c r="T126" s="2">
        <v>1</v>
      </c>
      <c r="U126" s="2">
        <v>4</v>
      </c>
      <c r="V126" s="2">
        <v>1</v>
      </c>
      <c r="W126" s="2">
        <v>3</v>
      </c>
      <c r="X126" s="2">
        <v>1</v>
      </c>
      <c r="Y126" s="2">
        <v>1</v>
      </c>
      <c r="Z126" s="2" t="s">
        <v>245</v>
      </c>
      <c r="AA126" s="2">
        <v>3</v>
      </c>
      <c r="AB126" s="2">
        <v>4</v>
      </c>
      <c r="AC126" s="2">
        <v>2</v>
      </c>
      <c r="AD126" s="2">
        <v>1</v>
      </c>
      <c r="AE126" s="2">
        <v>3</v>
      </c>
      <c r="AF126" s="2">
        <v>3</v>
      </c>
      <c r="AG126" s="2">
        <v>3</v>
      </c>
      <c r="AH126" s="2" t="s">
        <v>246</v>
      </c>
      <c r="AI126" s="3"/>
    </row>
    <row r="127" spans="1:35" ht="12.75" x14ac:dyDescent="0.35">
      <c r="A127" s="37" t="s">
        <v>312</v>
      </c>
      <c r="B127" s="37" t="s">
        <v>316</v>
      </c>
      <c r="C127" s="4">
        <v>45664.65596971065</v>
      </c>
      <c r="D127" s="5" t="s">
        <v>75</v>
      </c>
      <c r="E127" s="5" t="s">
        <v>17</v>
      </c>
      <c r="F127" s="5">
        <v>7</v>
      </c>
      <c r="G127" s="5">
        <v>4</v>
      </c>
      <c r="H127" s="5">
        <v>3</v>
      </c>
      <c r="I127" s="5">
        <v>1</v>
      </c>
      <c r="J127" s="5">
        <v>2</v>
      </c>
      <c r="K127" s="5">
        <v>2</v>
      </c>
      <c r="L127" s="5">
        <v>3</v>
      </c>
      <c r="M127" s="5" t="s">
        <v>37</v>
      </c>
      <c r="N127" s="5">
        <v>3</v>
      </c>
      <c r="O127" s="5">
        <v>2</v>
      </c>
      <c r="P127" s="5">
        <v>4</v>
      </c>
      <c r="Q127" s="5"/>
      <c r="R127" s="5">
        <v>5</v>
      </c>
      <c r="S127" s="5">
        <v>4</v>
      </c>
      <c r="T127" s="5">
        <v>2</v>
      </c>
      <c r="U127" s="5">
        <v>3</v>
      </c>
      <c r="V127" s="5">
        <v>2</v>
      </c>
      <c r="W127" s="5">
        <v>3</v>
      </c>
      <c r="X127" s="5">
        <v>2</v>
      </c>
      <c r="Y127" s="5">
        <v>4</v>
      </c>
      <c r="Z127" s="5"/>
      <c r="AA127" s="5">
        <v>4</v>
      </c>
      <c r="AB127" s="5">
        <v>3</v>
      </c>
      <c r="AC127" s="5">
        <v>3</v>
      </c>
      <c r="AD127" s="5">
        <v>3</v>
      </c>
      <c r="AE127" s="5">
        <v>4</v>
      </c>
      <c r="AF127" s="5">
        <v>4</v>
      </c>
      <c r="AG127" s="5">
        <v>5</v>
      </c>
      <c r="AH127" s="5">
        <v>7</v>
      </c>
      <c r="AI127" s="6" t="s">
        <v>247</v>
      </c>
    </row>
    <row r="128" spans="1:35" ht="12.75" hidden="1" x14ac:dyDescent="0.35">
      <c r="A128" s="37" t="s">
        <v>312</v>
      </c>
      <c r="B128" s="37" t="s">
        <v>315</v>
      </c>
      <c r="C128" s="4">
        <v>45664.656475625001</v>
      </c>
      <c r="D128" s="5" t="s">
        <v>82</v>
      </c>
      <c r="E128" s="5" t="s">
        <v>20</v>
      </c>
      <c r="F128" s="5">
        <v>4</v>
      </c>
      <c r="G128" s="5">
        <v>4</v>
      </c>
      <c r="H128" s="5">
        <v>4</v>
      </c>
      <c r="I128" s="5">
        <v>4</v>
      </c>
      <c r="J128" s="5">
        <v>4</v>
      </c>
      <c r="K128" s="5">
        <v>4</v>
      </c>
      <c r="L128" s="5">
        <v>0</v>
      </c>
      <c r="M128" s="5"/>
      <c r="N128" s="5">
        <v>3</v>
      </c>
      <c r="O128" s="5">
        <v>3</v>
      </c>
      <c r="P128" s="5">
        <v>2</v>
      </c>
      <c r="Q128" s="5" t="s">
        <v>248</v>
      </c>
      <c r="R128" s="5">
        <v>3</v>
      </c>
      <c r="S128" s="5">
        <v>4</v>
      </c>
      <c r="T128" s="5">
        <v>3</v>
      </c>
      <c r="U128" s="5">
        <v>4</v>
      </c>
      <c r="V128" s="5">
        <v>3</v>
      </c>
      <c r="W128" s="5">
        <v>3</v>
      </c>
      <c r="X128" s="5">
        <v>2</v>
      </c>
      <c r="Y128" s="5">
        <v>2</v>
      </c>
      <c r="Z128" s="5" t="s">
        <v>249</v>
      </c>
      <c r="AA128" s="5">
        <v>4</v>
      </c>
      <c r="AB128" s="5">
        <v>4</v>
      </c>
      <c r="AC128" s="5">
        <v>3</v>
      </c>
      <c r="AD128" s="5">
        <v>4</v>
      </c>
      <c r="AE128" s="5">
        <v>4</v>
      </c>
      <c r="AF128" s="5">
        <v>4</v>
      </c>
      <c r="AG128" s="5">
        <v>4</v>
      </c>
      <c r="AH128" s="5"/>
      <c r="AI128" s="6"/>
    </row>
    <row r="129" spans="1:35" ht="12.75" x14ac:dyDescent="0.35">
      <c r="A129" s="37" t="s">
        <v>312</v>
      </c>
      <c r="B129" s="37" t="s">
        <v>316</v>
      </c>
      <c r="C129" s="1">
        <v>45664.656608599536</v>
      </c>
      <c r="D129" s="2" t="s">
        <v>208</v>
      </c>
      <c r="E129" s="2" t="s">
        <v>20</v>
      </c>
      <c r="F129" s="2">
        <v>7</v>
      </c>
      <c r="G129" s="2">
        <v>4</v>
      </c>
      <c r="H129" s="2">
        <v>4</v>
      </c>
      <c r="I129" s="2">
        <v>3</v>
      </c>
      <c r="J129" s="2">
        <v>3</v>
      </c>
      <c r="K129" s="2">
        <v>2</v>
      </c>
      <c r="L129" s="2">
        <v>3</v>
      </c>
      <c r="M129" s="2" t="s">
        <v>250</v>
      </c>
      <c r="N129" s="2">
        <v>1</v>
      </c>
      <c r="O129" s="2">
        <v>3</v>
      </c>
      <c r="P129" s="2">
        <v>3</v>
      </c>
      <c r="Q129" s="2" t="s">
        <v>251</v>
      </c>
      <c r="R129" s="2">
        <v>5</v>
      </c>
      <c r="S129" s="2">
        <v>5</v>
      </c>
      <c r="T129" s="2">
        <v>3</v>
      </c>
      <c r="U129" s="2">
        <v>3</v>
      </c>
      <c r="V129" s="2">
        <v>4</v>
      </c>
      <c r="W129" s="2">
        <v>1</v>
      </c>
      <c r="X129" s="2">
        <v>3</v>
      </c>
      <c r="Y129" s="2">
        <v>3</v>
      </c>
      <c r="Z129" s="2" t="s">
        <v>252</v>
      </c>
      <c r="AA129" s="2">
        <v>5</v>
      </c>
      <c r="AB129" s="2">
        <v>5</v>
      </c>
      <c r="AC129" s="2">
        <v>4</v>
      </c>
      <c r="AD129" s="2">
        <v>2</v>
      </c>
      <c r="AE129" s="2">
        <v>1</v>
      </c>
      <c r="AF129" s="2">
        <v>2</v>
      </c>
      <c r="AG129" s="2">
        <v>2</v>
      </c>
      <c r="AH129" s="2" t="s">
        <v>253</v>
      </c>
      <c r="AI129" s="3"/>
    </row>
    <row r="130" spans="1:35" ht="12.75" x14ac:dyDescent="0.35">
      <c r="A130" s="37" t="s">
        <v>312</v>
      </c>
      <c r="B130" s="37" t="s">
        <v>316</v>
      </c>
      <c r="C130" s="4">
        <v>45664.656834756941</v>
      </c>
      <c r="D130" s="5" t="s">
        <v>161</v>
      </c>
      <c r="E130" s="5" t="s">
        <v>20</v>
      </c>
      <c r="F130" s="5">
        <v>7</v>
      </c>
      <c r="G130" s="5">
        <v>3</v>
      </c>
      <c r="H130" s="5">
        <v>1</v>
      </c>
      <c r="I130" s="5">
        <v>3</v>
      </c>
      <c r="J130" s="5">
        <v>4</v>
      </c>
      <c r="K130" s="5">
        <v>2</v>
      </c>
      <c r="L130" s="5">
        <v>1</v>
      </c>
      <c r="M130" s="5"/>
      <c r="N130" s="5">
        <v>2</v>
      </c>
      <c r="O130" s="5">
        <v>3</v>
      </c>
      <c r="P130" s="5">
        <v>3</v>
      </c>
      <c r="Q130" s="5"/>
      <c r="R130" s="5">
        <v>5</v>
      </c>
      <c r="S130" s="5">
        <v>1</v>
      </c>
      <c r="T130" s="5">
        <v>3</v>
      </c>
      <c r="U130" s="5">
        <v>4</v>
      </c>
      <c r="V130" s="5">
        <v>2</v>
      </c>
      <c r="W130" s="5">
        <v>1</v>
      </c>
      <c r="X130" s="5">
        <v>3</v>
      </c>
      <c r="Y130" s="5">
        <v>3</v>
      </c>
      <c r="Z130" s="5"/>
      <c r="AA130" s="5">
        <v>2</v>
      </c>
      <c r="AB130" s="5">
        <v>2</v>
      </c>
      <c r="AC130" s="5">
        <v>4</v>
      </c>
      <c r="AD130" s="5">
        <v>2</v>
      </c>
      <c r="AE130" s="5">
        <v>1</v>
      </c>
      <c r="AF130" s="5">
        <v>4</v>
      </c>
      <c r="AG130" s="5">
        <v>2</v>
      </c>
      <c r="AH130" s="5"/>
      <c r="AI130" s="6"/>
    </row>
    <row r="131" spans="1:35" ht="12.75" x14ac:dyDescent="0.35">
      <c r="A131" s="37" t="s">
        <v>312</v>
      </c>
      <c r="B131" s="37" t="s">
        <v>316</v>
      </c>
      <c r="C131" s="1">
        <v>45664.657306388894</v>
      </c>
      <c r="D131" s="2" t="s">
        <v>76</v>
      </c>
      <c r="E131" s="2" t="s">
        <v>77</v>
      </c>
      <c r="F131" s="2">
        <v>7</v>
      </c>
      <c r="G131" s="2">
        <v>4</v>
      </c>
      <c r="H131" s="2">
        <v>5</v>
      </c>
      <c r="I131" s="2">
        <v>4</v>
      </c>
      <c r="J131" s="2">
        <v>3</v>
      </c>
      <c r="K131" s="2">
        <v>2</v>
      </c>
      <c r="L131" s="2">
        <v>2</v>
      </c>
      <c r="M131" s="2"/>
      <c r="N131" s="2">
        <v>1</v>
      </c>
      <c r="O131" s="2">
        <v>1</v>
      </c>
      <c r="P131" s="2">
        <v>2</v>
      </c>
      <c r="Q131" s="2"/>
      <c r="R131" s="2">
        <v>5</v>
      </c>
      <c r="S131" s="2">
        <v>5</v>
      </c>
      <c r="T131" s="2">
        <v>4</v>
      </c>
      <c r="U131" s="2">
        <v>4</v>
      </c>
      <c r="V131" s="2">
        <v>1</v>
      </c>
      <c r="W131" s="2">
        <v>1</v>
      </c>
      <c r="X131" s="2">
        <v>2</v>
      </c>
      <c r="Y131" s="2">
        <v>2</v>
      </c>
      <c r="Z131" s="2"/>
      <c r="AA131" s="2">
        <v>3</v>
      </c>
      <c r="AB131" s="2">
        <v>4</v>
      </c>
      <c r="AC131" s="2">
        <v>4</v>
      </c>
      <c r="AD131" s="2">
        <v>4</v>
      </c>
      <c r="AE131" s="2">
        <v>2</v>
      </c>
      <c r="AF131" s="2">
        <v>3</v>
      </c>
      <c r="AG131" s="2">
        <v>3</v>
      </c>
      <c r="AH131" s="2" t="s">
        <v>254</v>
      </c>
      <c r="AI131" s="3"/>
    </row>
    <row r="132" spans="1:35" ht="12.75" x14ac:dyDescent="0.35">
      <c r="A132" s="37" t="s">
        <v>312</v>
      </c>
      <c r="B132" s="37" t="s">
        <v>316</v>
      </c>
      <c r="C132" s="4">
        <v>45664.657416712958</v>
      </c>
      <c r="D132" s="5" t="s">
        <v>44</v>
      </c>
      <c r="E132" s="5" t="s">
        <v>20</v>
      </c>
      <c r="F132" s="5">
        <v>7</v>
      </c>
      <c r="G132" s="5">
        <v>4</v>
      </c>
      <c r="H132" s="5">
        <v>3</v>
      </c>
      <c r="I132" s="5">
        <v>3</v>
      </c>
      <c r="J132" s="5">
        <v>1</v>
      </c>
      <c r="K132" s="5">
        <v>1</v>
      </c>
      <c r="L132" s="5">
        <v>2</v>
      </c>
      <c r="M132" s="5" t="s">
        <v>255</v>
      </c>
      <c r="N132" s="5">
        <v>1</v>
      </c>
      <c r="O132" s="5">
        <v>1</v>
      </c>
      <c r="P132" s="5">
        <v>1</v>
      </c>
      <c r="Q132" s="5"/>
      <c r="R132" s="5">
        <v>3</v>
      </c>
      <c r="S132" s="5">
        <v>2</v>
      </c>
      <c r="T132" s="5">
        <v>4</v>
      </c>
      <c r="U132" s="5">
        <v>2</v>
      </c>
      <c r="V132" s="5">
        <v>2</v>
      </c>
      <c r="W132" s="5">
        <v>1</v>
      </c>
      <c r="X132" s="5">
        <v>1</v>
      </c>
      <c r="Y132" s="5">
        <v>1</v>
      </c>
      <c r="Z132" s="5" t="s">
        <v>256</v>
      </c>
      <c r="AA132" s="5">
        <v>4</v>
      </c>
      <c r="AB132" s="5">
        <v>4</v>
      </c>
      <c r="AC132" s="5">
        <v>2</v>
      </c>
      <c r="AD132" s="5">
        <v>1</v>
      </c>
      <c r="AE132" s="5">
        <v>3</v>
      </c>
      <c r="AF132" s="5">
        <v>2</v>
      </c>
      <c r="AG132" s="5">
        <v>1</v>
      </c>
      <c r="AH132" s="5"/>
      <c r="AI132" s="6"/>
    </row>
    <row r="133" spans="1:35" ht="12.75" x14ac:dyDescent="0.35">
      <c r="A133" s="37" t="s">
        <v>312</v>
      </c>
      <c r="B133" s="37" t="s">
        <v>316</v>
      </c>
      <c r="C133" s="4">
        <v>45664.65759584491</v>
      </c>
      <c r="D133" s="5" t="s">
        <v>28</v>
      </c>
      <c r="E133" s="5" t="s">
        <v>20</v>
      </c>
      <c r="F133" s="5">
        <v>7</v>
      </c>
      <c r="G133" s="5">
        <v>3</v>
      </c>
      <c r="H133" s="5">
        <v>5</v>
      </c>
      <c r="I133" s="5">
        <v>3</v>
      </c>
      <c r="J133" s="5">
        <v>3</v>
      </c>
      <c r="K133" s="5">
        <v>4</v>
      </c>
      <c r="L133" s="5">
        <v>0</v>
      </c>
      <c r="M133" s="5" t="s">
        <v>257</v>
      </c>
      <c r="N133" s="5">
        <v>1</v>
      </c>
      <c r="O133" s="5">
        <v>1</v>
      </c>
      <c r="P133" s="5">
        <v>1</v>
      </c>
      <c r="Q133" s="5"/>
      <c r="R133" s="5">
        <v>5</v>
      </c>
      <c r="S133" s="5">
        <v>5</v>
      </c>
      <c r="T133" s="5">
        <v>4</v>
      </c>
      <c r="U133" s="5">
        <v>4</v>
      </c>
      <c r="V133" s="5">
        <v>2</v>
      </c>
      <c r="W133" s="5">
        <v>1</v>
      </c>
      <c r="X133" s="5">
        <v>1</v>
      </c>
      <c r="Y133" s="5">
        <v>1</v>
      </c>
      <c r="Z133" s="5"/>
      <c r="AA133" s="5">
        <v>2</v>
      </c>
      <c r="AB133" s="5">
        <v>5</v>
      </c>
      <c r="AC133" s="5">
        <v>5</v>
      </c>
      <c r="AD133" s="5">
        <v>1</v>
      </c>
      <c r="AE133" s="5">
        <v>2</v>
      </c>
      <c r="AF133" s="5">
        <v>2</v>
      </c>
      <c r="AG133" s="5">
        <v>3</v>
      </c>
      <c r="AH133" s="5"/>
      <c r="AI133" s="6"/>
    </row>
    <row r="134" spans="1:35" ht="12.75" hidden="1" x14ac:dyDescent="0.35">
      <c r="A134" s="37" t="s">
        <v>312</v>
      </c>
      <c r="B134" s="37" t="s">
        <v>315</v>
      </c>
      <c r="C134" s="4">
        <v>45664.658089803241</v>
      </c>
      <c r="D134" s="5" t="s">
        <v>258</v>
      </c>
      <c r="E134" s="5" t="s">
        <v>20</v>
      </c>
      <c r="F134" s="5">
        <v>4</v>
      </c>
      <c r="G134" s="5">
        <v>4</v>
      </c>
      <c r="H134" s="5">
        <v>2</v>
      </c>
      <c r="I134" s="5">
        <v>3</v>
      </c>
      <c r="J134" s="5">
        <v>3</v>
      </c>
      <c r="K134" s="5">
        <v>3</v>
      </c>
      <c r="L134" s="5">
        <v>3</v>
      </c>
      <c r="M134" s="5" t="s">
        <v>259</v>
      </c>
      <c r="N134" s="5">
        <v>4</v>
      </c>
      <c r="O134" s="5">
        <v>3</v>
      </c>
      <c r="P134" s="5">
        <v>4</v>
      </c>
      <c r="Q134" s="5" t="s">
        <v>260</v>
      </c>
      <c r="R134" s="5">
        <v>4</v>
      </c>
      <c r="S134" s="5">
        <v>3</v>
      </c>
      <c r="T134" s="5">
        <v>3</v>
      </c>
      <c r="U134" s="5">
        <v>3</v>
      </c>
      <c r="V134" s="5">
        <v>3</v>
      </c>
      <c r="W134" s="5">
        <v>3</v>
      </c>
      <c r="X134" s="5">
        <v>3</v>
      </c>
      <c r="Y134" s="5">
        <v>3</v>
      </c>
      <c r="Z134" s="5"/>
      <c r="AA134" s="5">
        <v>4</v>
      </c>
      <c r="AB134" s="5">
        <v>3</v>
      </c>
      <c r="AC134" s="5">
        <v>3</v>
      </c>
      <c r="AD134" s="5">
        <v>4</v>
      </c>
      <c r="AE134" s="5">
        <v>4</v>
      </c>
      <c r="AF134" s="5">
        <v>4</v>
      </c>
      <c r="AG134" s="5">
        <v>4</v>
      </c>
      <c r="AH134" s="5" t="s">
        <v>261</v>
      </c>
      <c r="AI134" s="6" t="s">
        <v>262</v>
      </c>
    </row>
    <row r="135" spans="1:35" ht="12.75" x14ac:dyDescent="0.35">
      <c r="A135" s="37" t="s">
        <v>312</v>
      </c>
      <c r="B135" s="37" t="s">
        <v>316</v>
      </c>
      <c r="C135" s="1">
        <v>45664.658207337961</v>
      </c>
      <c r="D135" s="2" t="s">
        <v>42</v>
      </c>
      <c r="E135" s="2" t="s">
        <v>20</v>
      </c>
      <c r="F135" s="2">
        <v>7</v>
      </c>
      <c r="G135" s="2">
        <v>5</v>
      </c>
      <c r="H135" s="2">
        <v>4</v>
      </c>
      <c r="I135" s="2">
        <v>3</v>
      </c>
      <c r="J135" s="2">
        <v>0</v>
      </c>
      <c r="K135" s="2">
        <v>0</v>
      </c>
      <c r="L135" s="2">
        <v>0</v>
      </c>
      <c r="M135" s="2" t="s">
        <v>263</v>
      </c>
      <c r="N135" s="2">
        <v>1</v>
      </c>
      <c r="O135" s="2">
        <v>1</v>
      </c>
      <c r="P135" s="2">
        <v>3</v>
      </c>
      <c r="Q135" s="2"/>
      <c r="R135" s="2">
        <v>5</v>
      </c>
      <c r="S135" s="2">
        <v>3</v>
      </c>
      <c r="T135" s="2">
        <v>5</v>
      </c>
      <c r="U135" s="2">
        <v>4</v>
      </c>
      <c r="V135" s="2">
        <v>1</v>
      </c>
      <c r="W135" s="2">
        <v>1</v>
      </c>
      <c r="X135" s="2">
        <v>1</v>
      </c>
      <c r="Y135" s="2">
        <v>3</v>
      </c>
      <c r="Z135" s="2"/>
      <c r="AA135" s="2">
        <v>4</v>
      </c>
      <c r="AB135" s="2">
        <v>2</v>
      </c>
      <c r="AC135" s="2">
        <v>5</v>
      </c>
      <c r="AD135" s="2">
        <v>4</v>
      </c>
      <c r="AE135" s="2">
        <v>2</v>
      </c>
      <c r="AF135" s="2">
        <v>2</v>
      </c>
      <c r="AG135" s="2">
        <v>2</v>
      </c>
      <c r="AH135" s="2"/>
      <c r="AI135" s="3"/>
    </row>
    <row r="136" spans="1:35" ht="12.75" x14ac:dyDescent="0.35">
      <c r="A136" s="37" t="s">
        <v>312</v>
      </c>
      <c r="B136" s="37" t="s">
        <v>316</v>
      </c>
      <c r="C136" s="1">
        <v>45664.658609548613</v>
      </c>
      <c r="D136" s="2" t="s">
        <v>264</v>
      </c>
      <c r="E136" s="2" t="s">
        <v>17</v>
      </c>
      <c r="F136" s="2">
        <v>7</v>
      </c>
      <c r="G136" s="2">
        <v>4</v>
      </c>
      <c r="H136" s="2">
        <v>0</v>
      </c>
      <c r="I136" s="2">
        <v>0</v>
      </c>
      <c r="J136" s="2">
        <v>3</v>
      </c>
      <c r="K136" s="2">
        <v>2</v>
      </c>
      <c r="L136" s="2">
        <v>0</v>
      </c>
      <c r="M136" s="2" t="s">
        <v>225</v>
      </c>
      <c r="N136" s="2">
        <v>1</v>
      </c>
      <c r="O136" s="2">
        <v>1</v>
      </c>
      <c r="P136" s="2">
        <v>4</v>
      </c>
      <c r="Q136" s="2" t="s">
        <v>51</v>
      </c>
      <c r="R136" s="2">
        <v>5</v>
      </c>
      <c r="S136" s="2">
        <v>1</v>
      </c>
      <c r="T136" s="2">
        <v>1</v>
      </c>
      <c r="U136" s="2">
        <v>4</v>
      </c>
      <c r="V136" s="2">
        <v>3</v>
      </c>
      <c r="W136" s="2">
        <v>1</v>
      </c>
      <c r="X136" s="2">
        <v>1</v>
      </c>
      <c r="Y136" s="2">
        <v>4</v>
      </c>
      <c r="Z136" s="2" t="s">
        <v>51</v>
      </c>
      <c r="AA136" s="2">
        <v>1</v>
      </c>
      <c r="AB136" s="2">
        <v>3</v>
      </c>
      <c r="AC136" s="2">
        <v>3</v>
      </c>
      <c r="AD136" s="2">
        <v>0</v>
      </c>
      <c r="AE136" s="2">
        <v>5</v>
      </c>
      <c r="AF136" s="2">
        <v>5</v>
      </c>
      <c r="AG136" s="2">
        <v>5</v>
      </c>
      <c r="AH136" s="2"/>
      <c r="AI136" s="3"/>
    </row>
    <row r="137" spans="1:35" ht="12.75" x14ac:dyDescent="0.35">
      <c r="A137" s="37" t="s">
        <v>312</v>
      </c>
      <c r="B137" s="37" t="s">
        <v>316</v>
      </c>
      <c r="C137" s="4">
        <v>45664.659238784719</v>
      </c>
      <c r="D137" s="5" t="s">
        <v>63</v>
      </c>
      <c r="E137" s="5" t="s">
        <v>20</v>
      </c>
      <c r="F137" s="5">
        <v>7</v>
      </c>
      <c r="G137" s="5">
        <v>4</v>
      </c>
      <c r="H137" s="5">
        <v>5</v>
      </c>
      <c r="I137" s="5">
        <v>4</v>
      </c>
      <c r="J137" s="5">
        <v>2</v>
      </c>
      <c r="K137" s="5">
        <v>2</v>
      </c>
      <c r="L137" s="5">
        <v>0</v>
      </c>
      <c r="M137" s="5"/>
      <c r="N137" s="5">
        <v>1</v>
      </c>
      <c r="O137" s="5">
        <v>1</v>
      </c>
      <c r="P137" s="5">
        <v>5</v>
      </c>
      <c r="Q137" s="5" t="s">
        <v>265</v>
      </c>
      <c r="R137" s="5">
        <v>5</v>
      </c>
      <c r="S137" s="5">
        <v>2</v>
      </c>
      <c r="T137" s="5">
        <v>4</v>
      </c>
      <c r="U137" s="5">
        <v>1</v>
      </c>
      <c r="V137" s="5">
        <v>1</v>
      </c>
      <c r="W137" s="5">
        <v>1</v>
      </c>
      <c r="X137" s="5">
        <v>1</v>
      </c>
      <c r="Y137" s="5">
        <v>4</v>
      </c>
      <c r="Z137" s="5" t="s">
        <v>266</v>
      </c>
      <c r="AA137" s="5">
        <v>1</v>
      </c>
      <c r="AB137" s="5">
        <v>3</v>
      </c>
      <c r="AC137" s="5">
        <v>3</v>
      </c>
      <c r="AD137" s="5">
        <v>1</v>
      </c>
      <c r="AE137" s="5">
        <v>2</v>
      </c>
      <c r="AF137" s="5">
        <v>1</v>
      </c>
      <c r="AG137" s="5">
        <v>2</v>
      </c>
      <c r="AH137" s="5" t="s">
        <v>267</v>
      </c>
      <c r="AI137" s="6"/>
    </row>
    <row r="138" spans="1:35" ht="12.75" x14ac:dyDescent="0.35">
      <c r="A138" s="37" t="s">
        <v>312</v>
      </c>
      <c r="B138" s="37" t="s">
        <v>316</v>
      </c>
      <c r="C138" s="4">
        <v>45664.660437754632</v>
      </c>
      <c r="D138" s="5" t="s">
        <v>173</v>
      </c>
      <c r="E138" s="5" t="s">
        <v>17</v>
      </c>
      <c r="F138" s="5">
        <v>7</v>
      </c>
      <c r="G138" s="5">
        <v>2</v>
      </c>
      <c r="H138" s="5">
        <v>1</v>
      </c>
      <c r="I138" s="5">
        <v>1</v>
      </c>
      <c r="J138" s="5">
        <v>1</v>
      </c>
      <c r="K138" s="5">
        <v>0</v>
      </c>
      <c r="L138" s="5">
        <v>0</v>
      </c>
      <c r="M138" s="5" t="s">
        <v>268</v>
      </c>
      <c r="N138" s="5">
        <v>1</v>
      </c>
      <c r="O138" s="5">
        <v>1</v>
      </c>
      <c r="P138" s="5">
        <v>2</v>
      </c>
      <c r="Q138" s="5"/>
      <c r="R138" s="5">
        <v>3</v>
      </c>
      <c r="S138" s="5">
        <v>2</v>
      </c>
      <c r="T138" s="5">
        <v>2</v>
      </c>
      <c r="U138" s="5">
        <v>2</v>
      </c>
      <c r="V138" s="5">
        <v>1</v>
      </c>
      <c r="W138" s="5">
        <v>1</v>
      </c>
      <c r="X138" s="5">
        <v>1</v>
      </c>
      <c r="Y138" s="5">
        <v>2</v>
      </c>
      <c r="Z138" s="5" t="s">
        <v>269</v>
      </c>
      <c r="AA138" s="5">
        <v>3</v>
      </c>
      <c r="AB138" s="5">
        <v>1</v>
      </c>
      <c r="AC138" s="5">
        <v>2</v>
      </c>
      <c r="AD138" s="5">
        <v>2</v>
      </c>
      <c r="AE138" s="5">
        <v>4</v>
      </c>
      <c r="AF138" s="5">
        <v>2</v>
      </c>
      <c r="AG138" s="5">
        <v>2</v>
      </c>
      <c r="AH138" s="5" t="s">
        <v>270</v>
      </c>
      <c r="AI138" s="6"/>
    </row>
    <row r="139" spans="1:35" ht="12.75" x14ac:dyDescent="0.35">
      <c r="A139" s="37" t="s">
        <v>312</v>
      </c>
      <c r="B139" s="37" t="s">
        <v>316</v>
      </c>
      <c r="C139" s="1">
        <v>45664.661674016199</v>
      </c>
      <c r="D139" s="2" t="s">
        <v>201</v>
      </c>
      <c r="E139" s="2" t="s">
        <v>20</v>
      </c>
      <c r="F139" s="2">
        <v>7</v>
      </c>
      <c r="G139" s="2">
        <v>3</v>
      </c>
      <c r="H139" s="2">
        <v>0</v>
      </c>
      <c r="I139" s="2">
        <v>2</v>
      </c>
      <c r="J139" s="2">
        <v>3</v>
      </c>
      <c r="K139" s="2">
        <v>2</v>
      </c>
      <c r="L139" s="2">
        <v>1</v>
      </c>
      <c r="M139" s="2"/>
      <c r="N139" s="2">
        <v>2</v>
      </c>
      <c r="O139" s="2">
        <v>2</v>
      </c>
      <c r="P139" s="2">
        <v>1</v>
      </c>
      <c r="Q139" s="2"/>
      <c r="R139" s="2">
        <v>4</v>
      </c>
      <c r="S139" s="2">
        <v>1</v>
      </c>
      <c r="T139" s="2">
        <v>3</v>
      </c>
      <c r="U139" s="2">
        <v>4</v>
      </c>
      <c r="V139" s="2">
        <v>1</v>
      </c>
      <c r="W139" s="2">
        <v>2</v>
      </c>
      <c r="X139" s="2">
        <v>2</v>
      </c>
      <c r="Y139" s="2">
        <v>2</v>
      </c>
      <c r="Z139" s="2" t="s">
        <v>271</v>
      </c>
      <c r="AA139" s="2">
        <v>3</v>
      </c>
      <c r="AB139" s="2">
        <v>3</v>
      </c>
      <c r="AC139" s="2">
        <v>3</v>
      </c>
      <c r="AD139" s="2">
        <v>2</v>
      </c>
      <c r="AE139" s="2">
        <v>3</v>
      </c>
      <c r="AF139" s="2">
        <v>3</v>
      </c>
      <c r="AG139" s="2">
        <v>3</v>
      </c>
      <c r="AH139" s="2"/>
      <c r="AI139" s="3"/>
    </row>
    <row r="140" spans="1:35" ht="12.75" x14ac:dyDescent="0.35">
      <c r="A140" s="37" t="s">
        <v>312</v>
      </c>
      <c r="B140" s="37" t="s">
        <v>316</v>
      </c>
      <c r="C140" s="1">
        <v>45664.662670590275</v>
      </c>
      <c r="D140" s="2" t="s">
        <v>237</v>
      </c>
      <c r="E140" s="2" t="s">
        <v>17</v>
      </c>
      <c r="F140" s="2">
        <v>7</v>
      </c>
      <c r="G140" s="38" t="s">
        <v>272</v>
      </c>
      <c r="H140" s="2">
        <v>5</v>
      </c>
      <c r="I140" s="2">
        <v>2</v>
      </c>
      <c r="J140" s="2">
        <v>3</v>
      </c>
      <c r="K140" s="2">
        <v>3</v>
      </c>
      <c r="L140" s="2">
        <v>2</v>
      </c>
      <c r="M140" s="2" t="s">
        <v>273</v>
      </c>
      <c r="N140" s="2">
        <v>3</v>
      </c>
      <c r="O140" s="2">
        <v>3</v>
      </c>
      <c r="P140" s="2">
        <v>2</v>
      </c>
      <c r="Q140" s="2"/>
      <c r="R140" s="2">
        <v>4</v>
      </c>
      <c r="S140" s="2">
        <v>4</v>
      </c>
      <c r="T140" s="2">
        <v>2</v>
      </c>
      <c r="U140" s="2">
        <v>3</v>
      </c>
      <c r="V140" s="2">
        <v>1</v>
      </c>
      <c r="W140" s="2">
        <v>4</v>
      </c>
      <c r="X140" s="2">
        <v>2</v>
      </c>
      <c r="Y140" s="2">
        <v>1</v>
      </c>
      <c r="Z140" s="2" t="s">
        <v>274</v>
      </c>
      <c r="AA140" s="2">
        <v>1</v>
      </c>
      <c r="AB140" s="2">
        <v>3</v>
      </c>
      <c r="AC140" s="2">
        <v>5</v>
      </c>
      <c r="AD140" s="2">
        <v>5</v>
      </c>
      <c r="AE140" s="2">
        <v>2</v>
      </c>
      <c r="AF140" s="2">
        <v>2</v>
      </c>
      <c r="AG140" s="2">
        <v>1</v>
      </c>
      <c r="AH140" s="2"/>
      <c r="AI140" s="3"/>
    </row>
    <row r="141" spans="1:35" ht="12.75" x14ac:dyDescent="0.35">
      <c r="A141" s="37" t="s">
        <v>312</v>
      </c>
      <c r="B141" s="37" t="s">
        <v>316</v>
      </c>
      <c r="C141" s="1">
        <v>45664.663932627314</v>
      </c>
      <c r="D141" s="2" t="s">
        <v>159</v>
      </c>
      <c r="E141" s="2" t="s">
        <v>17</v>
      </c>
      <c r="F141" s="2">
        <v>7</v>
      </c>
      <c r="G141" s="2">
        <v>2</v>
      </c>
      <c r="H141" s="2">
        <v>1</v>
      </c>
      <c r="I141" s="2">
        <v>1</v>
      </c>
      <c r="J141" s="2">
        <v>0</v>
      </c>
      <c r="K141" s="2">
        <v>0</v>
      </c>
      <c r="L141" s="2">
        <v>0</v>
      </c>
      <c r="M141" s="2"/>
      <c r="N141" s="2">
        <v>2</v>
      </c>
      <c r="O141" s="2">
        <v>1</v>
      </c>
      <c r="P141" s="2">
        <v>1</v>
      </c>
      <c r="Q141" s="2"/>
      <c r="R141" s="2">
        <v>5</v>
      </c>
      <c r="S141" s="2">
        <v>1</v>
      </c>
      <c r="T141" s="2">
        <v>1</v>
      </c>
      <c r="U141" s="2">
        <v>3</v>
      </c>
      <c r="V141" s="2">
        <v>4</v>
      </c>
      <c r="W141" s="2">
        <v>2</v>
      </c>
      <c r="X141" s="2">
        <v>1</v>
      </c>
      <c r="Y141" s="2">
        <v>2</v>
      </c>
      <c r="Z141" s="2"/>
      <c r="AA141" s="2">
        <v>1</v>
      </c>
      <c r="AB141" s="2">
        <v>3</v>
      </c>
      <c r="AC141" s="2">
        <v>2</v>
      </c>
      <c r="AD141" s="2">
        <v>2</v>
      </c>
      <c r="AE141" s="2">
        <v>1</v>
      </c>
      <c r="AF141" s="2">
        <v>5</v>
      </c>
      <c r="AG141" s="2">
        <v>5</v>
      </c>
      <c r="AH141" s="2"/>
      <c r="AI141" s="3"/>
    </row>
    <row r="142" spans="1:35" ht="12.75" x14ac:dyDescent="0.35">
      <c r="A142" s="37" t="s">
        <v>312</v>
      </c>
      <c r="B142" s="37" t="s">
        <v>316</v>
      </c>
      <c r="C142" s="1">
        <v>45664.66552469907</v>
      </c>
      <c r="D142" s="2" t="s">
        <v>27</v>
      </c>
      <c r="E142" s="2" t="s">
        <v>20</v>
      </c>
      <c r="F142" s="2">
        <v>7</v>
      </c>
      <c r="G142" s="2">
        <v>4</v>
      </c>
      <c r="H142" s="2">
        <v>5</v>
      </c>
      <c r="I142" s="2">
        <v>0</v>
      </c>
      <c r="J142" s="2">
        <v>0</v>
      </c>
      <c r="K142" s="2">
        <v>0</v>
      </c>
      <c r="L142" s="2">
        <v>0</v>
      </c>
      <c r="M142" s="2"/>
      <c r="N142" s="2">
        <v>3</v>
      </c>
      <c r="O142" s="2">
        <v>1</v>
      </c>
      <c r="P142" s="2">
        <v>2</v>
      </c>
      <c r="Q142" s="2"/>
      <c r="R142" s="2">
        <v>4</v>
      </c>
      <c r="S142" s="2">
        <v>1</v>
      </c>
      <c r="T142" s="2">
        <v>1</v>
      </c>
      <c r="U142" s="2">
        <v>5</v>
      </c>
      <c r="V142" s="2">
        <v>1</v>
      </c>
      <c r="W142" s="2">
        <v>1</v>
      </c>
      <c r="X142" s="2">
        <v>1</v>
      </c>
      <c r="Y142" s="2">
        <v>1</v>
      </c>
      <c r="Z142" s="2" t="s">
        <v>275</v>
      </c>
      <c r="AA142" s="2">
        <v>1</v>
      </c>
      <c r="AB142" s="2">
        <v>2</v>
      </c>
      <c r="AC142" s="2">
        <v>2</v>
      </c>
      <c r="AD142" s="2">
        <v>2</v>
      </c>
      <c r="AE142" s="2">
        <v>3</v>
      </c>
      <c r="AF142" s="2">
        <v>4</v>
      </c>
      <c r="AG142" s="2">
        <v>3</v>
      </c>
      <c r="AH142" s="2"/>
      <c r="AI142" s="3" t="s">
        <v>276</v>
      </c>
    </row>
    <row r="143" spans="1:35" ht="12.75" x14ac:dyDescent="0.35">
      <c r="A143" s="37" t="s">
        <v>312</v>
      </c>
      <c r="B143" s="37" t="s">
        <v>316</v>
      </c>
      <c r="C143" s="4">
        <v>45664.666018749995</v>
      </c>
      <c r="D143" s="5" t="s">
        <v>99</v>
      </c>
      <c r="E143" s="5" t="s">
        <v>77</v>
      </c>
      <c r="F143" s="5">
        <v>7</v>
      </c>
      <c r="G143" s="5">
        <v>5</v>
      </c>
      <c r="H143" s="5">
        <v>4</v>
      </c>
      <c r="I143" s="5">
        <v>0</v>
      </c>
      <c r="J143" s="5">
        <v>3</v>
      </c>
      <c r="K143" s="5">
        <v>3</v>
      </c>
      <c r="L143" s="5">
        <v>4</v>
      </c>
      <c r="M143" s="5" t="s">
        <v>277</v>
      </c>
      <c r="N143" s="5">
        <v>1</v>
      </c>
      <c r="O143" s="5">
        <v>1</v>
      </c>
      <c r="P143" s="5">
        <v>1</v>
      </c>
      <c r="Q143" s="5" t="s">
        <v>278</v>
      </c>
      <c r="R143" s="5">
        <v>5</v>
      </c>
      <c r="S143" s="5">
        <v>4</v>
      </c>
      <c r="T143" s="5">
        <v>1</v>
      </c>
      <c r="U143" s="5">
        <v>5</v>
      </c>
      <c r="V143" s="5">
        <v>3</v>
      </c>
      <c r="W143" s="5">
        <v>1</v>
      </c>
      <c r="X143" s="5">
        <v>1</v>
      </c>
      <c r="Y143" s="5">
        <v>1</v>
      </c>
      <c r="Z143" s="5" t="s">
        <v>279</v>
      </c>
      <c r="AA143" s="5">
        <v>1</v>
      </c>
      <c r="AB143" s="5">
        <v>5</v>
      </c>
      <c r="AC143" s="5">
        <v>5</v>
      </c>
      <c r="AD143" s="5">
        <v>5</v>
      </c>
      <c r="AE143" s="5">
        <v>2</v>
      </c>
      <c r="AF143" s="5">
        <v>4</v>
      </c>
      <c r="AG143" s="5">
        <v>4</v>
      </c>
      <c r="AH143" s="5" t="s">
        <v>280</v>
      </c>
      <c r="AI143" s="6"/>
    </row>
    <row r="144" spans="1:35" ht="12.75" x14ac:dyDescent="0.35">
      <c r="A144" s="37" t="s">
        <v>312</v>
      </c>
      <c r="B144" s="37" t="s">
        <v>316</v>
      </c>
      <c r="C144" s="1">
        <v>45664.667614537037</v>
      </c>
      <c r="D144" s="2" t="s">
        <v>215</v>
      </c>
      <c r="E144" s="2" t="s">
        <v>20</v>
      </c>
      <c r="F144" s="2">
        <v>7</v>
      </c>
      <c r="G144" s="2">
        <v>5</v>
      </c>
      <c r="H144" s="2">
        <v>4</v>
      </c>
      <c r="I144" s="2">
        <v>3</v>
      </c>
      <c r="J144" s="2">
        <v>4</v>
      </c>
      <c r="K144" s="2">
        <v>3</v>
      </c>
      <c r="L144" s="2">
        <v>0</v>
      </c>
      <c r="M144" s="2"/>
      <c r="N144" s="2">
        <v>5</v>
      </c>
      <c r="O144" s="2">
        <v>4</v>
      </c>
      <c r="P144" s="2">
        <v>3</v>
      </c>
      <c r="Q144" s="2"/>
      <c r="R144" s="2">
        <v>5</v>
      </c>
      <c r="S144" s="2">
        <v>4</v>
      </c>
      <c r="T144" s="2">
        <v>4</v>
      </c>
      <c r="U144" s="2">
        <v>5</v>
      </c>
      <c r="V144" s="2">
        <v>3</v>
      </c>
      <c r="W144" s="2">
        <v>4</v>
      </c>
      <c r="X144" s="2">
        <v>4</v>
      </c>
      <c r="Y144" s="2">
        <v>5</v>
      </c>
      <c r="Z144" s="2"/>
      <c r="AA144" s="2">
        <v>5</v>
      </c>
      <c r="AB144" s="2">
        <v>5</v>
      </c>
      <c r="AC144" s="2">
        <v>5</v>
      </c>
      <c r="AD144" s="2">
        <v>5</v>
      </c>
      <c r="AE144" s="2">
        <v>4</v>
      </c>
      <c r="AF144" s="2">
        <v>5</v>
      </c>
      <c r="AG144" s="2">
        <v>5</v>
      </c>
      <c r="AH144" s="2"/>
      <c r="AI144" s="3"/>
    </row>
    <row r="145" spans="1:35" ht="12.75" x14ac:dyDescent="0.35">
      <c r="A145" s="37" t="s">
        <v>312</v>
      </c>
      <c r="B145" s="37" t="s">
        <v>316</v>
      </c>
      <c r="C145" s="4">
        <v>45664.668022986109</v>
      </c>
      <c r="D145" s="5" t="s">
        <v>127</v>
      </c>
      <c r="E145" s="5" t="s">
        <v>20</v>
      </c>
      <c r="F145" s="5">
        <v>7</v>
      </c>
      <c r="G145" s="5">
        <v>1</v>
      </c>
      <c r="H145" s="5">
        <v>1</v>
      </c>
      <c r="I145" s="5">
        <v>1</v>
      </c>
      <c r="J145" s="5">
        <v>1</v>
      </c>
      <c r="K145" s="5">
        <v>1</v>
      </c>
      <c r="L145" s="5">
        <v>1</v>
      </c>
      <c r="M145" s="5" t="s">
        <v>281</v>
      </c>
      <c r="N145" s="5">
        <v>1</v>
      </c>
      <c r="O145" s="5">
        <v>1</v>
      </c>
      <c r="P145" s="5">
        <v>1</v>
      </c>
      <c r="Q145" s="5" t="s">
        <v>282</v>
      </c>
      <c r="R145" s="5">
        <v>1</v>
      </c>
      <c r="S145" s="5">
        <v>1</v>
      </c>
      <c r="T145" s="5">
        <v>1</v>
      </c>
      <c r="U145" s="5">
        <v>1</v>
      </c>
      <c r="V145" s="5">
        <v>1</v>
      </c>
      <c r="W145" s="5">
        <v>1</v>
      </c>
      <c r="X145" s="5">
        <v>1</v>
      </c>
      <c r="Y145" s="5">
        <v>1</v>
      </c>
      <c r="Z145" s="5" t="s">
        <v>283</v>
      </c>
      <c r="AA145" s="5">
        <v>1</v>
      </c>
      <c r="AB145" s="5">
        <v>5</v>
      </c>
      <c r="AC145" s="5">
        <v>1</v>
      </c>
      <c r="AD145" s="5">
        <v>1</v>
      </c>
      <c r="AE145" s="5">
        <v>1</v>
      </c>
      <c r="AF145" s="5">
        <v>1</v>
      </c>
      <c r="AG145" s="5">
        <v>1</v>
      </c>
      <c r="AH145" s="5" t="s">
        <v>284</v>
      </c>
      <c r="AI145" s="6" t="s">
        <v>285</v>
      </c>
    </row>
    <row r="146" spans="1:35" ht="12.75" x14ac:dyDescent="0.35">
      <c r="A146" s="37" t="s">
        <v>312</v>
      </c>
      <c r="B146" s="37" t="s">
        <v>316</v>
      </c>
      <c r="C146" s="7">
        <v>45664.66816021991</v>
      </c>
      <c r="D146" s="8" t="s">
        <v>143</v>
      </c>
      <c r="E146" s="8" t="s">
        <v>77</v>
      </c>
      <c r="F146" s="8">
        <v>7</v>
      </c>
      <c r="G146" s="8">
        <v>5</v>
      </c>
      <c r="H146" s="8">
        <v>1</v>
      </c>
      <c r="I146" s="8">
        <v>4</v>
      </c>
      <c r="J146" s="8">
        <v>3</v>
      </c>
      <c r="K146" s="8">
        <v>0</v>
      </c>
      <c r="L146" s="8">
        <v>0</v>
      </c>
      <c r="M146" s="8"/>
      <c r="N146" s="8">
        <v>1</v>
      </c>
      <c r="O146" s="8">
        <v>1</v>
      </c>
      <c r="P146" s="8">
        <v>3</v>
      </c>
      <c r="Q146" s="8"/>
      <c r="R146" s="8">
        <v>5</v>
      </c>
      <c r="S146" s="8">
        <v>1</v>
      </c>
      <c r="T146" s="8">
        <v>3</v>
      </c>
      <c r="U146" s="8">
        <v>3</v>
      </c>
      <c r="V146" s="8">
        <v>1</v>
      </c>
      <c r="W146" s="8">
        <v>1</v>
      </c>
      <c r="X146" s="8">
        <v>2</v>
      </c>
      <c r="Y146" s="8">
        <v>3</v>
      </c>
      <c r="Z146" s="8"/>
      <c r="AA146" s="8">
        <v>3</v>
      </c>
      <c r="AB146" s="40" t="s">
        <v>272</v>
      </c>
      <c r="AC146" s="8">
        <v>5</v>
      </c>
      <c r="AD146" s="8">
        <v>3</v>
      </c>
      <c r="AE146" s="8">
        <v>5</v>
      </c>
      <c r="AF146" s="8">
        <v>2</v>
      </c>
      <c r="AG146" s="8">
        <v>2</v>
      </c>
      <c r="AH146" s="8" t="s">
        <v>286</v>
      </c>
      <c r="AI146" s="9"/>
    </row>
  </sheetData>
  <phoneticPr fontId="7"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4942C-7EF9-4B6E-B3A0-B1DD88B844F7}">
  <dimension ref="A1:AF76"/>
  <sheetViews>
    <sheetView tabSelected="1" topLeftCell="A51" zoomScale="86" zoomScaleNormal="86" workbookViewId="0">
      <selection activeCell="C79" sqref="C79"/>
    </sheetView>
  </sheetViews>
  <sheetFormatPr baseColWidth="10" defaultRowHeight="12.75" x14ac:dyDescent="0.35"/>
  <cols>
    <col min="1" max="1" width="19.796875" bestFit="1" customWidth="1"/>
    <col min="2" max="2" width="28.796875" bestFit="1" customWidth="1"/>
    <col min="3" max="3" width="4.6640625" customWidth="1"/>
    <col min="10" max="10" width="47.6640625" customWidth="1"/>
    <col min="23" max="23" width="58" customWidth="1"/>
    <col min="24" max="24" width="10.6640625" customWidth="1"/>
    <col min="31" max="31" width="106.46484375" customWidth="1"/>
    <col min="32" max="32" width="116.46484375" bestFit="1" customWidth="1"/>
  </cols>
  <sheetData>
    <row r="1" spans="1:32" ht="51" x14ac:dyDescent="0.35">
      <c r="A1" s="10" t="s">
        <v>343</v>
      </c>
      <c r="B1" s="10" t="s">
        <v>344</v>
      </c>
      <c r="C1" s="10" t="s">
        <v>345</v>
      </c>
      <c r="D1" s="21" t="s">
        <v>346</v>
      </c>
      <c r="E1" s="21" t="s">
        <v>347</v>
      </c>
      <c r="F1" s="21" t="s">
        <v>348</v>
      </c>
      <c r="G1" s="21" t="s">
        <v>349</v>
      </c>
      <c r="H1" s="22" t="s">
        <v>350</v>
      </c>
      <c r="I1" s="22" t="s">
        <v>351</v>
      </c>
      <c r="J1" s="10" t="s">
        <v>352</v>
      </c>
      <c r="K1" s="22" t="s">
        <v>37</v>
      </c>
      <c r="L1" s="22" t="s">
        <v>290</v>
      </c>
      <c r="M1" s="22" t="s">
        <v>291</v>
      </c>
      <c r="N1" s="10" t="s">
        <v>5</v>
      </c>
      <c r="O1" s="21" t="s">
        <v>294</v>
      </c>
      <c r="P1" s="21" t="s">
        <v>292</v>
      </c>
      <c r="Q1" s="21" t="s">
        <v>293</v>
      </c>
      <c r="R1" s="21" t="s">
        <v>47</v>
      </c>
      <c r="S1" s="22" t="s">
        <v>288</v>
      </c>
      <c r="T1" s="22" t="s">
        <v>37</v>
      </c>
      <c r="U1" s="22" t="s">
        <v>290</v>
      </c>
      <c r="V1" s="22" t="s">
        <v>291</v>
      </c>
      <c r="W1" s="10" t="s">
        <v>6</v>
      </c>
      <c r="X1" s="11" t="s">
        <v>299</v>
      </c>
      <c r="Y1" s="22" t="s">
        <v>297</v>
      </c>
      <c r="Z1" s="22" t="s">
        <v>287</v>
      </c>
      <c r="AA1" s="22" t="s">
        <v>298</v>
      </c>
      <c r="AB1" s="32" t="s">
        <v>300</v>
      </c>
      <c r="AC1" s="32" t="s">
        <v>301</v>
      </c>
      <c r="AD1" s="32" t="s">
        <v>302</v>
      </c>
      <c r="AE1" s="11" t="s">
        <v>14</v>
      </c>
      <c r="AF1" s="12" t="s">
        <v>15</v>
      </c>
    </row>
    <row r="2" spans="1:32" x14ac:dyDescent="0.35">
      <c r="A2" s="13" t="s">
        <v>16</v>
      </c>
      <c r="B2" s="13" t="s">
        <v>17</v>
      </c>
      <c r="C2" s="13">
        <v>1</v>
      </c>
      <c r="D2" s="13">
        <v>1</v>
      </c>
      <c r="E2" s="13">
        <v>0</v>
      </c>
      <c r="F2" s="13">
        <v>0</v>
      </c>
      <c r="G2" s="13">
        <v>1</v>
      </c>
      <c r="H2" s="13">
        <v>0</v>
      </c>
      <c r="I2" s="13">
        <v>0</v>
      </c>
      <c r="J2" s="13"/>
      <c r="K2" s="13">
        <v>1</v>
      </c>
      <c r="L2" s="13">
        <v>3</v>
      </c>
      <c r="M2" s="13">
        <v>1</v>
      </c>
      <c r="N2" s="13"/>
      <c r="O2" s="13">
        <v>3</v>
      </c>
      <c r="P2" s="13">
        <v>1</v>
      </c>
      <c r="Q2" s="13">
        <v>3</v>
      </c>
      <c r="R2" s="13">
        <v>2</v>
      </c>
      <c r="S2" s="13">
        <v>1</v>
      </c>
      <c r="T2" s="13">
        <v>1</v>
      </c>
      <c r="U2" s="13">
        <v>4</v>
      </c>
      <c r="V2" s="13">
        <v>1</v>
      </c>
      <c r="W2" s="13"/>
      <c r="X2" s="13">
        <v>2</v>
      </c>
      <c r="Y2" s="13">
        <v>4</v>
      </c>
      <c r="Z2" s="13">
        <v>3</v>
      </c>
      <c r="AA2" s="13">
        <v>2</v>
      </c>
      <c r="AB2" s="13">
        <v>3</v>
      </c>
      <c r="AC2" s="13">
        <v>2</v>
      </c>
      <c r="AD2" s="13">
        <v>3</v>
      </c>
      <c r="AE2" s="13" t="s">
        <v>18</v>
      </c>
      <c r="AF2" s="14"/>
    </row>
    <row r="3" spans="1:32" x14ac:dyDescent="0.35">
      <c r="A3" s="15" t="s">
        <v>19</v>
      </c>
      <c r="B3" s="15" t="s">
        <v>20</v>
      </c>
      <c r="C3" s="15">
        <v>1</v>
      </c>
      <c r="D3" s="15">
        <v>4</v>
      </c>
      <c r="E3" s="15">
        <v>2</v>
      </c>
      <c r="F3" s="15">
        <v>1</v>
      </c>
      <c r="G3" s="15">
        <v>2</v>
      </c>
      <c r="H3" s="15">
        <v>0</v>
      </c>
      <c r="I3" s="15">
        <v>0</v>
      </c>
      <c r="J3" s="15"/>
      <c r="K3" s="15">
        <v>4</v>
      </c>
      <c r="L3" s="15">
        <v>1</v>
      </c>
      <c r="M3" s="15">
        <v>1</v>
      </c>
      <c r="N3" s="15"/>
      <c r="O3" s="15">
        <v>1</v>
      </c>
      <c r="P3" s="15">
        <v>1</v>
      </c>
      <c r="Q3" s="15">
        <v>1</v>
      </c>
      <c r="R3" s="15">
        <v>3</v>
      </c>
      <c r="S3" s="15">
        <v>2</v>
      </c>
      <c r="T3" s="15">
        <v>4</v>
      </c>
      <c r="U3" s="15">
        <v>1</v>
      </c>
      <c r="V3" s="15">
        <v>2</v>
      </c>
      <c r="W3" s="15"/>
      <c r="X3" s="15">
        <v>1</v>
      </c>
      <c r="Y3" s="15">
        <v>4</v>
      </c>
      <c r="Z3" s="15">
        <v>1</v>
      </c>
      <c r="AA3" s="15">
        <v>2</v>
      </c>
      <c r="AB3" s="15">
        <v>5</v>
      </c>
      <c r="AC3" s="15">
        <v>3</v>
      </c>
      <c r="AD3" s="15">
        <v>3</v>
      </c>
      <c r="AE3" s="15"/>
      <c r="AF3" s="16" t="s">
        <v>22</v>
      </c>
    </row>
    <row r="4" spans="1:32" x14ac:dyDescent="0.35">
      <c r="A4" s="13" t="s">
        <v>23</v>
      </c>
      <c r="B4" s="13" t="s">
        <v>20</v>
      </c>
      <c r="C4" s="13">
        <v>1</v>
      </c>
      <c r="D4" s="13">
        <v>3</v>
      </c>
      <c r="E4" s="13">
        <v>1</v>
      </c>
      <c r="F4" s="13">
        <v>0</v>
      </c>
      <c r="G4" s="13">
        <v>2</v>
      </c>
      <c r="H4" s="13">
        <v>1</v>
      </c>
      <c r="I4" s="13">
        <v>0</v>
      </c>
      <c r="J4" s="13"/>
      <c r="K4" s="13">
        <v>3</v>
      </c>
      <c r="L4" s="13">
        <v>2</v>
      </c>
      <c r="M4" s="13">
        <v>3</v>
      </c>
      <c r="N4" s="13"/>
      <c r="O4" s="13">
        <v>2</v>
      </c>
      <c r="P4" s="13">
        <v>3</v>
      </c>
      <c r="Q4" s="13">
        <v>1</v>
      </c>
      <c r="R4" s="13">
        <v>3</v>
      </c>
      <c r="S4" s="13">
        <v>3</v>
      </c>
      <c r="T4" s="13">
        <v>3</v>
      </c>
      <c r="U4" s="13">
        <v>4</v>
      </c>
      <c r="V4" s="13">
        <v>2</v>
      </c>
      <c r="W4" s="13"/>
      <c r="X4" s="13">
        <v>3</v>
      </c>
      <c r="Y4" s="13">
        <v>2</v>
      </c>
      <c r="Z4" s="13">
        <v>3</v>
      </c>
      <c r="AA4" s="13">
        <v>1</v>
      </c>
      <c r="AB4" s="13">
        <v>3</v>
      </c>
      <c r="AC4" s="13">
        <v>3</v>
      </c>
      <c r="AD4" s="13">
        <v>4</v>
      </c>
      <c r="AE4" s="13">
        <v>6.8</v>
      </c>
      <c r="AF4" s="14"/>
    </row>
    <row r="5" spans="1:32" x14ac:dyDescent="0.35">
      <c r="A5" s="15" t="s">
        <v>24</v>
      </c>
      <c r="B5" s="15" t="s">
        <v>20</v>
      </c>
      <c r="C5" s="15">
        <v>1</v>
      </c>
      <c r="D5" s="15">
        <v>2</v>
      </c>
      <c r="E5" s="15">
        <v>0</v>
      </c>
      <c r="F5" s="15">
        <v>3</v>
      </c>
      <c r="G5" s="15">
        <v>1</v>
      </c>
      <c r="H5" s="15">
        <v>1</v>
      </c>
      <c r="I5" s="15">
        <v>2</v>
      </c>
      <c r="J5" s="15" t="s">
        <v>25</v>
      </c>
      <c r="K5" s="15">
        <v>3</v>
      </c>
      <c r="L5" s="15">
        <v>2</v>
      </c>
      <c r="M5" s="15">
        <v>2</v>
      </c>
      <c r="N5" s="15"/>
      <c r="O5" s="15">
        <v>2</v>
      </c>
      <c r="P5" s="15">
        <v>4</v>
      </c>
      <c r="Q5" s="15">
        <v>2</v>
      </c>
      <c r="R5" s="15">
        <v>2</v>
      </c>
      <c r="S5" s="15">
        <v>1</v>
      </c>
      <c r="T5" s="15">
        <v>3</v>
      </c>
      <c r="U5" s="15">
        <v>2</v>
      </c>
      <c r="V5" s="15">
        <v>1</v>
      </c>
      <c r="W5" s="15"/>
      <c r="X5" s="15">
        <v>2</v>
      </c>
      <c r="Y5" s="15">
        <v>4</v>
      </c>
      <c r="Z5" s="15">
        <v>2</v>
      </c>
      <c r="AA5" s="15">
        <v>1</v>
      </c>
      <c r="AB5" s="15">
        <v>4</v>
      </c>
      <c r="AC5" s="15">
        <v>2</v>
      </c>
      <c r="AD5" s="15">
        <v>3</v>
      </c>
      <c r="AE5" s="15" t="s">
        <v>26</v>
      </c>
      <c r="AF5" s="16"/>
    </row>
    <row r="6" spans="1:32" x14ac:dyDescent="0.35">
      <c r="A6" s="13" t="s">
        <v>27</v>
      </c>
      <c r="B6" s="13" t="s">
        <v>20</v>
      </c>
      <c r="C6" s="13">
        <v>1</v>
      </c>
      <c r="D6" s="13">
        <v>1</v>
      </c>
      <c r="E6" s="13">
        <v>1</v>
      </c>
      <c r="F6" s="13">
        <v>0</v>
      </c>
      <c r="G6" s="13">
        <v>1</v>
      </c>
      <c r="H6" s="13">
        <v>0</v>
      </c>
      <c r="I6" s="13">
        <v>0</v>
      </c>
      <c r="J6" s="13"/>
      <c r="K6" s="13">
        <v>4</v>
      </c>
      <c r="L6" s="13">
        <v>3</v>
      </c>
      <c r="M6" s="13">
        <v>1</v>
      </c>
      <c r="N6" s="13"/>
      <c r="O6" s="13">
        <v>1</v>
      </c>
      <c r="P6" s="13">
        <v>2</v>
      </c>
      <c r="Q6" s="13">
        <v>1</v>
      </c>
      <c r="R6" s="13">
        <v>1</v>
      </c>
      <c r="S6" s="13">
        <v>1</v>
      </c>
      <c r="T6" s="13">
        <v>4</v>
      </c>
      <c r="U6" s="13">
        <v>3</v>
      </c>
      <c r="V6" s="13">
        <v>1</v>
      </c>
      <c r="W6" s="13"/>
      <c r="X6" s="13">
        <v>2</v>
      </c>
      <c r="Y6" s="13">
        <v>2</v>
      </c>
      <c r="Z6" s="13">
        <v>0</v>
      </c>
      <c r="AA6" s="13">
        <v>1</v>
      </c>
      <c r="AB6" s="13">
        <v>4</v>
      </c>
      <c r="AC6" s="13">
        <v>3</v>
      </c>
      <c r="AD6" s="13">
        <v>3</v>
      </c>
      <c r="AE6" s="13"/>
      <c r="AF6" s="14"/>
    </row>
    <row r="7" spans="1:32" x14ac:dyDescent="0.35">
      <c r="A7" s="17" t="s">
        <v>29</v>
      </c>
      <c r="B7" s="17" t="s">
        <v>20</v>
      </c>
      <c r="C7" s="17">
        <v>1</v>
      </c>
      <c r="D7" s="17">
        <v>3</v>
      </c>
      <c r="E7" s="17">
        <v>1</v>
      </c>
      <c r="F7" s="17">
        <v>1</v>
      </c>
      <c r="G7" s="17">
        <v>2</v>
      </c>
      <c r="H7" s="17">
        <v>3</v>
      </c>
      <c r="I7" s="17">
        <v>0</v>
      </c>
      <c r="J7" s="17"/>
      <c r="K7" s="17">
        <v>2</v>
      </c>
      <c r="L7" s="17">
        <v>3</v>
      </c>
      <c r="M7" s="17">
        <v>1</v>
      </c>
      <c r="N7" s="17"/>
      <c r="O7" s="17">
        <v>2</v>
      </c>
      <c r="P7" s="17">
        <v>3</v>
      </c>
      <c r="Q7" s="17">
        <v>2</v>
      </c>
      <c r="R7" s="17">
        <v>1</v>
      </c>
      <c r="S7" s="17">
        <v>1</v>
      </c>
      <c r="T7" s="17">
        <v>1</v>
      </c>
      <c r="U7" s="17">
        <v>1</v>
      </c>
      <c r="V7" s="17">
        <v>1</v>
      </c>
      <c r="W7" s="17"/>
      <c r="X7" s="17">
        <v>2</v>
      </c>
      <c r="Y7" s="17">
        <v>2</v>
      </c>
      <c r="Z7" s="17">
        <v>1</v>
      </c>
      <c r="AA7" s="17">
        <v>3</v>
      </c>
      <c r="AB7" s="17">
        <v>3</v>
      </c>
      <c r="AC7" s="17">
        <v>3</v>
      </c>
      <c r="AD7" s="17">
        <v>5</v>
      </c>
      <c r="AE7" s="17"/>
      <c r="AF7" s="18"/>
    </row>
    <row r="8" spans="1:32" x14ac:dyDescent="0.35">
      <c r="A8" s="13" t="s">
        <v>33</v>
      </c>
      <c r="B8" s="13" t="s">
        <v>20</v>
      </c>
      <c r="C8" s="13">
        <v>1</v>
      </c>
      <c r="D8" s="13">
        <v>1</v>
      </c>
      <c r="E8" s="13">
        <v>4</v>
      </c>
      <c r="F8" s="13">
        <v>0</v>
      </c>
      <c r="G8" s="13">
        <v>2</v>
      </c>
      <c r="H8" s="13">
        <v>1</v>
      </c>
      <c r="I8" s="13">
        <v>0</v>
      </c>
      <c r="J8" s="13"/>
      <c r="K8" s="13">
        <v>5</v>
      </c>
      <c r="L8" s="13">
        <v>2</v>
      </c>
      <c r="M8" s="13">
        <v>1</v>
      </c>
      <c r="N8" s="13"/>
      <c r="O8" s="13">
        <v>1</v>
      </c>
      <c r="P8" s="13">
        <v>4</v>
      </c>
      <c r="Q8" s="13">
        <v>2</v>
      </c>
      <c r="R8" s="13">
        <v>2</v>
      </c>
      <c r="S8" s="13">
        <v>3</v>
      </c>
      <c r="T8" s="13">
        <v>5</v>
      </c>
      <c r="U8" s="13">
        <v>1</v>
      </c>
      <c r="V8" s="13">
        <v>1</v>
      </c>
      <c r="W8" s="13"/>
      <c r="X8" s="13">
        <v>5</v>
      </c>
      <c r="Y8" s="13">
        <v>2</v>
      </c>
      <c r="Z8" s="13">
        <v>0</v>
      </c>
      <c r="AA8" s="13">
        <v>1</v>
      </c>
      <c r="AB8" s="13">
        <v>5</v>
      </c>
      <c r="AC8" s="13">
        <v>4</v>
      </c>
      <c r="AD8" s="13">
        <v>4</v>
      </c>
      <c r="AE8" s="13"/>
      <c r="AF8" s="14" t="s">
        <v>35</v>
      </c>
    </row>
    <row r="9" spans="1:32" x14ac:dyDescent="0.35">
      <c r="A9" s="15" t="s">
        <v>36</v>
      </c>
      <c r="B9" s="15" t="s">
        <v>17</v>
      </c>
      <c r="C9" s="15">
        <v>1</v>
      </c>
      <c r="D9" s="15">
        <v>3</v>
      </c>
      <c r="E9" s="15">
        <v>1</v>
      </c>
      <c r="F9" s="15">
        <v>1</v>
      </c>
      <c r="G9" s="15">
        <v>2</v>
      </c>
      <c r="H9" s="15">
        <v>2</v>
      </c>
      <c r="I9" s="15">
        <v>3</v>
      </c>
      <c r="J9" s="15" t="s">
        <v>37</v>
      </c>
      <c r="K9" s="15">
        <v>3</v>
      </c>
      <c r="L9" s="15">
        <v>2</v>
      </c>
      <c r="M9" s="15">
        <v>3</v>
      </c>
      <c r="N9" s="15"/>
      <c r="O9" s="15">
        <v>3</v>
      </c>
      <c r="P9" s="15">
        <v>2</v>
      </c>
      <c r="Q9" s="15">
        <v>2</v>
      </c>
      <c r="R9" s="15">
        <v>3</v>
      </c>
      <c r="S9" s="15">
        <v>2</v>
      </c>
      <c r="T9" s="15">
        <v>4</v>
      </c>
      <c r="U9" s="15">
        <v>2</v>
      </c>
      <c r="V9" s="15">
        <v>3</v>
      </c>
      <c r="W9" s="15"/>
      <c r="X9" s="15">
        <v>3</v>
      </c>
      <c r="Y9" s="15">
        <v>3</v>
      </c>
      <c r="Z9" s="15">
        <v>2</v>
      </c>
      <c r="AA9" s="15">
        <v>4</v>
      </c>
      <c r="AB9" s="15">
        <v>4</v>
      </c>
      <c r="AC9" s="15">
        <v>4</v>
      </c>
      <c r="AD9" s="15">
        <v>5</v>
      </c>
      <c r="AE9" s="15">
        <v>7</v>
      </c>
      <c r="AF9" s="16" t="s">
        <v>38</v>
      </c>
    </row>
    <row r="10" spans="1:32" x14ac:dyDescent="0.35">
      <c r="A10" s="19" t="s">
        <v>39</v>
      </c>
      <c r="B10" s="19" t="s">
        <v>20</v>
      </c>
      <c r="C10" s="19">
        <v>1</v>
      </c>
      <c r="D10" s="19">
        <v>2</v>
      </c>
      <c r="E10" s="19">
        <v>1</v>
      </c>
      <c r="F10" s="19">
        <v>2</v>
      </c>
      <c r="G10" s="19">
        <v>3</v>
      </c>
      <c r="H10" s="19">
        <v>1</v>
      </c>
      <c r="I10" s="19">
        <v>0</v>
      </c>
      <c r="J10" s="19" t="s">
        <v>40</v>
      </c>
      <c r="K10" s="19">
        <v>1</v>
      </c>
      <c r="L10" s="19">
        <v>3</v>
      </c>
      <c r="M10" s="19">
        <v>2</v>
      </c>
      <c r="N10" s="19"/>
      <c r="O10" s="19">
        <v>2</v>
      </c>
      <c r="P10" s="19">
        <v>2</v>
      </c>
      <c r="Q10" s="19">
        <v>2</v>
      </c>
      <c r="R10" s="19">
        <v>3</v>
      </c>
      <c r="S10" s="19">
        <v>2</v>
      </c>
      <c r="T10" s="19">
        <v>3</v>
      </c>
      <c r="U10" s="19">
        <v>3</v>
      </c>
      <c r="V10" s="19">
        <v>2</v>
      </c>
      <c r="W10" s="19" t="s">
        <v>41</v>
      </c>
      <c r="X10" s="19">
        <v>3</v>
      </c>
      <c r="Y10" s="19">
        <v>2</v>
      </c>
      <c r="Z10" s="19">
        <v>2</v>
      </c>
      <c r="AA10" s="19">
        <v>2</v>
      </c>
      <c r="AB10" s="19">
        <v>1</v>
      </c>
      <c r="AC10" s="19">
        <v>3</v>
      </c>
      <c r="AD10" s="19">
        <v>2</v>
      </c>
      <c r="AE10" s="19"/>
      <c r="AF10" s="20"/>
    </row>
    <row r="11" spans="1:32" x14ac:dyDescent="0.35">
      <c r="A11" s="17" t="s">
        <v>42</v>
      </c>
      <c r="B11" s="17" t="s">
        <v>20</v>
      </c>
      <c r="C11" s="17">
        <v>1</v>
      </c>
      <c r="D11" s="17">
        <v>4</v>
      </c>
      <c r="E11" s="17">
        <v>2</v>
      </c>
      <c r="F11" s="17">
        <v>0</v>
      </c>
      <c r="G11" s="17">
        <v>2</v>
      </c>
      <c r="H11" s="17">
        <v>1</v>
      </c>
      <c r="I11" s="17">
        <v>0</v>
      </c>
      <c r="J11" s="17"/>
      <c r="K11" s="17">
        <v>1</v>
      </c>
      <c r="L11" s="17">
        <v>1</v>
      </c>
      <c r="M11" s="17">
        <v>3</v>
      </c>
      <c r="N11" s="17"/>
      <c r="O11" s="17">
        <v>2</v>
      </c>
      <c r="P11" s="17">
        <v>3</v>
      </c>
      <c r="Q11" s="17">
        <v>2</v>
      </c>
      <c r="R11" s="17">
        <v>1</v>
      </c>
      <c r="S11" s="17">
        <v>2</v>
      </c>
      <c r="T11" s="17">
        <v>1</v>
      </c>
      <c r="U11" s="17">
        <v>1</v>
      </c>
      <c r="V11" s="17">
        <v>2</v>
      </c>
      <c r="W11" s="17" t="s">
        <v>43</v>
      </c>
      <c r="X11" s="17">
        <v>3</v>
      </c>
      <c r="Y11" s="17">
        <v>3</v>
      </c>
      <c r="Z11" s="17">
        <v>1</v>
      </c>
      <c r="AA11" s="17">
        <v>2</v>
      </c>
      <c r="AB11" s="17">
        <v>5</v>
      </c>
      <c r="AC11" s="17">
        <v>4</v>
      </c>
      <c r="AD11" s="17">
        <v>2</v>
      </c>
      <c r="AE11" s="17"/>
      <c r="AF11" s="18"/>
    </row>
    <row r="12" spans="1:32" x14ac:dyDescent="0.35">
      <c r="A12" s="19" t="s">
        <v>44</v>
      </c>
      <c r="B12" s="19" t="s">
        <v>20</v>
      </c>
      <c r="C12" s="19">
        <v>1</v>
      </c>
      <c r="D12" s="19">
        <v>2</v>
      </c>
      <c r="E12" s="19">
        <v>1</v>
      </c>
      <c r="F12" s="19">
        <v>1</v>
      </c>
      <c r="G12" s="19">
        <v>0</v>
      </c>
      <c r="H12" s="19">
        <v>1</v>
      </c>
      <c r="I12" s="19">
        <v>0</v>
      </c>
      <c r="J12" s="19"/>
      <c r="K12" s="19">
        <v>2</v>
      </c>
      <c r="L12" s="19">
        <v>1</v>
      </c>
      <c r="M12" s="19">
        <v>2</v>
      </c>
      <c r="N12" s="19"/>
      <c r="O12" s="19">
        <v>3</v>
      </c>
      <c r="P12" s="19">
        <v>3</v>
      </c>
      <c r="Q12" s="19">
        <v>2</v>
      </c>
      <c r="R12" s="19">
        <v>2</v>
      </c>
      <c r="S12" s="19">
        <v>2</v>
      </c>
      <c r="T12" s="19">
        <v>2</v>
      </c>
      <c r="U12" s="19">
        <v>2</v>
      </c>
      <c r="V12" s="19">
        <v>1</v>
      </c>
      <c r="W12" s="19"/>
      <c r="X12" s="19">
        <v>3</v>
      </c>
      <c r="Y12" s="19">
        <v>0</v>
      </c>
      <c r="Z12" s="19">
        <v>1</v>
      </c>
      <c r="AA12" s="19">
        <v>0</v>
      </c>
      <c r="AB12" s="19">
        <v>2</v>
      </c>
      <c r="AC12" s="19">
        <v>2</v>
      </c>
      <c r="AD12" s="19">
        <v>3</v>
      </c>
      <c r="AE12" s="19"/>
      <c r="AF12" s="20"/>
    </row>
    <row r="13" spans="1:32" x14ac:dyDescent="0.35">
      <c r="A13" s="15" t="s">
        <v>49</v>
      </c>
      <c r="B13" s="15" t="s">
        <v>17</v>
      </c>
      <c r="C13" s="15">
        <v>1</v>
      </c>
      <c r="D13" s="15">
        <v>1</v>
      </c>
      <c r="E13" s="15">
        <v>0</v>
      </c>
      <c r="F13" s="15">
        <v>0</v>
      </c>
      <c r="G13" s="15">
        <v>0</v>
      </c>
      <c r="H13" s="15">
        <v>0</v>
      </c>
      <c r="I13" s="15">
        <v>0</v>
      </c>
      <c r="J13" s="15" t="s">
        <v>50</v>
      </c>
      <c r="K13" s="15">
        <v>1</v>
      </c>
      <c r="L13" s="15">
        <v>1</v>
      </c>
      <c r="M13" s="15">
        <v>2</v>
      </c>
      <c r="N13" s="15" t="s">
        <v>51</v>
      </c>
      <c r="O13" s="15">
        <v>1</v>
      </c>
      <c r="P13" s="15">
        <v>1</v>
      </c>
      <c r="Q13" s="15">
        <v>1</v>
      </c>
      <c r="R13" s="15">
        <v>1</v>
      </c>
      <c r="S13" s="15">
        <v>1</v>
      </c>
      <c r="T13" s="15">
        <v>1</v>
      </c>
      <c r="U13" s="15">
        <v>1</v>
      </c>
      <c r="V13" s="15">
        <v>1</v>
      </c>
      <c r="W13" s="15" t="s">
        <v>51</v>
      </c>
      <c r="X13" s="15">
        <v>1</v>
      </c>
      <c r="Y13" s="15">
        <v>1</v>
      </c>
      <c r="Z13" s="15">
        <v>0</v>
      </c>
      <c r="AA13" s="15">
        <v>1</v>
      </c>
      <c r="AB13" s="15">
        <v>1</v>
      </c>
      <c r="AC13" s="15">
        <v>1</v>
      </c>
      <c r="AD13" s="15">
        <v>1</v>
      </c>
      <c r="AE13" s="15"/>
      <c r="AF13" s="16"/>
    </row>
    <row r="14" spans="1:32" x14ac:dyDescent="0.35">
      <c r="A14" s="13" t="s">
        <v>52</v>
      </c>
      <c r="B14" s="13" t="s">
        <v>20</v>
      </c>
      <c r="C14" s="13">
        <v>1</v>
      </c>
      <c r="D14" s="13">
        <v>3</v>
      </c>
      <c r="E14" s="13">
        <v>0</v>
      </c>
      <c r="F14" s="13">
        <v>1</v>
      </c>
      <c r="G14" s="13">
        <v>2</v>
      </c>
      <c r="H14" s="13">
        <v>0</v>
      </c>
      <c r="I14" s="13">
        <v>0</v>
      </c>
      <c r="J14" s="13" t="s">
        <v>53</v>
      </c>
      <c r="K14" s="13">
        <v>1</v>
      </c>
      <c r="L14" s="13">
        <v>1</v>
      </c>
      <c r="M14" s="13">
        <v>3</v>
      </c>
      <c r="N14" s="13"/>
      <c r="O14" s="13">
        <v>2</v>
      </c>
      <c r="P14" s="13">
        <v>1</v>
      </c>
      <c r="Q14" s="13">
        <v>2</v>
      </c>
      <c r="R14" s="13">
        <v>1</v>
      </c>
      <c r="S14" s="13">
        <v>1</v>
      </c>
      <c r="T14" s="13">
        <v>1</v>
      </c>
      <c r="U14" s="13">
        <v>2</v>
      </c>
      <c r="V14" s="13">
        <v>2</v>
      </c>
      <c r="W14" s="13"/>
      <c r="X14" s="13">
        <v>2</v>
      </c>
      <c r="Y14" s="13">
        <v>2</v>
      </c>
      <c r="Z14" s="13">
        <v>1</v>
      </c>
      <c r="AA14" s="13">
        <v>0</v>
      </c>
      <c r="AB14" s="13">
        <v>3</v>
      </c>
      <c r="AC14" s="13">
        <v>3</v>
      </c>
      <c r="AD14" s="13">
        <v>3</v>
      </c>
      <c r="AE14" s="13" t="s">
        <v>54</v>
      </c>
      <c r="AF14" s="14"/>
    </row>
    <row r="15" spans="1:32" x14ac:dyDescent="0.35">
      <c r="A15" s="15" t="s">
        <v>55</v>
      </c>
      <c r="B15" s="15" t="s">
        <v>17</v>
      </c>
      <c r="C15" s="15">
        <v>1</v>
      </c>
      <c r="D15" s="15">
        <v>3</v>
      </c>
      <c r="E15" s="15">
        <v>2</v>
      </c>
      <c r="F15" s="15">
        <v>1</v>
      </c>
      <c r="G15" s="15">
        <v>0</v>
      </c>
      <c r="H15" s="15">
        <v>0</v>
      </c>
      <c r="I15" s="15">
        <v>2</v>
      </c>
      <c r="J15" s="15" t="s">
        <v>58</v>
      </c>
      <c r="K15" s="15">
        <v>2</v>
      </c>
      <c r="L15" s="15">
        <v>1</v>
      </c>
      <c r="M15" s="15">
        <v>2</v>
      </c>
      <c r="N15" s="15"/>
      <c r="O15" s="15">
        <v>1</v>
      </c>
      <c r="P15" s="15">
        <v>1</v>
      </c>
      <c r="Q15" s="15">
        <v>3</v>
      </c>
      <c r="R15" s="15">
        <v>1</v>
      </c>
      <c r="S15" s="15">
        <v>1</v>
      </c>
      <c r="T15" s="15">
        <v>1</v>
      </c>
      <c r="U15" s="15">
        <v>1</v>
      </c>
      <c r="V15" s="15">
        <v>1</v>
      </c>
      <c r="W15" s="15"/>
      <c r="X15" s="15">
        <v>4</v>
      </c>
      <c r="Y15" s="15">
        <v>1</v>
      </c>
      <c r="Z15" s="15">
        <v>0</v>
      </c>
      <c r="AA15" s="15">
        <v>1</v>
      </c>
      <c r="AB15" s="15">
        <v>5</v>
      </c>
      <c r="AC15" s="15">
        <v>2</v>
      </c>
      <c r="AD15" s="15">
        <v>3</v>
      </c>
      <c r="AE15" s="15" t="s">
        <v>60</v>
      </c>
      <c r="AF15" s="16"/>
    </row>
    <row r="16" spans="1:32" x14ac:dyDescent="0.35">
      <c r="A16" s="13" t="s">
        <v>63</v>
      </c>
      <c r="B16" s="13" t="s">
        <v>20</v>
      </c>
      <c r="C16" s="13">
        <v>1</v>
      </c>
      <c r="D16" s="13">
        <v>2</v>
      </c>
      <c r="E16" s="13">
        <v>3</v>
      </c>
      <c r="F16" s="13">
        <v>1</v>
      </c>
      <c r="G16" s="13">
        <v>3</v>
      </c>
      <c r="H16" s="13">
        <v>3</v>
      </c>
      <c r="I16" s="13">
        <v>3</v>
      </c>
      <c r="J16" s="13" t="s">
        <v>64</v>
      </c>
      <c r="K16" s="13">
        <v>4</v>
      </c>
      <c r="L16" s="13">
        <v>3</v>
      </c>
      <c r="M16" s="13">
        <v>1</v>
      </c>
      <c r="N16" s="13"/>
      <c r="O16" s="13">
        <v>2</v>
      </c>
      <c r="P16" s="13">
        <v>1</v>
      </c>
      <c r="Q16" s="13">
        <v>3</v>
      </c>
      <c r="R16" s="13">
        <v>4</v>
      </c>
      <c r="S16" s="13">
        <v>2</v>
      </c>
      <c r="T16" s="13">
        <v>4</v>
      </c>
      <c r="U16" s="13">
        <v>2</v>
      </c>
      <c r="V16" s="13">
        <v>1</v>
      </c>
      <c r="W16" s="13"/>
      <c r="X16" s="13">
        <v>2</v>
      </c>
      <c r="Y16" s="13">
        <v>5</v>
      </c>
      <c r="Z16" s="13">
        <v>3</v>
      </c>
      <c r="AA16" s="13">
        <v>4</v>
      </c>
      <c r="AB16" s="13">
        <v>4</v>
      </c>
      <c r="AC16" s="13">
        <v>3</v>
      </c>
      <c r="AD16" s="13">
        <v>4</v>
      </c>
      <c r="AE16" s="13" t="s">
        <v>65</v>
      </c>
      <c r="AF16" s="14"/>
    </row>
    <row r="17" spans="1:32" x14ac:dyDescent="0.35">
      <c r="A17" s="15" t="s">
        <v>71</v>
      </c>
      <c r="B17" s="15" t="s">
        <v>20</v>
      </c>
      <c r="C17" s="15">
        <v>1</v>
      </c>
      <c r="D17" s="15">
        <v>2</v>
      </c>
      <c r="E17" s="15">
        <v>0</v>
      </c>
      <c r="F17" s="15">
        <v>1</v>
      </c>
      <c r="G17" s="15">
        <v>2</v>
      </c>
      <c r="H17" s="15">
        <v>1</v>
      </c>
      <c r="I17" s="15">
        <v>0</v>
      </c>
      <c r="J17" s="15" t="s">
        <v>72</v>
      </c>
      <c r="K17" s="15">
        <v>2</v>
      </c>
      <c r="L17" s="15">
        <v>3</v>
      </c>
      <c r="M17" s="15">
        <v>4</v>
      </c>
      <c r="N17" s="15"/>
      <c r="O17" s="15">
        <v>3</v>
      </c>
      <c r="P17" s="15">
        <v>4</v>
      </c>
      <c r="Q17" s="15">
        <v>3</v>
      </c>
      <c r="R17" s="15">
        <v>3</v>
      </c>
      <c r="S17" s="15">
        <v>2</v>
      </c>
      <c r="T17" s="15">
        <v>3</v>
      </c>
      <c r="U17" s="15">
        <v>2</v>
      </c>
      <c r="V17" s="15">
        <v>4</v>
      </c>
      <c r="W17" s="15"/>
      <c r="X17" s="15">
        <v>3</v>
      </c>
      <c r="Y17" s="15">
        <v>4</v>
      </c>
      <c r="Z17" s="15">
        <v>3</v>
      </c>
      <c r="AA17" s="15">
        <v>3</v>
      </c>
      <c r="AB17" s="15">
        <v>3</v>
      </c>
      <c r="AC17" s="15">
        <v>2</v>
      </c>
      <c r="AD17" s="15">
        <v>3</v>
      </c>
      <c r="AE17" s="15" t="s">
        <v>73</v>
      </c>
      <c r="AF17" s="16"/>
    </row>
    <row r="18" spans="1:32" x14ac:dyDescent="0.35">
      <c r="A18" s="13" t="s">
        <v>76</v>
      </c>
      <c r="B18" s="13" t="s">
        <v>77</v>
      </c>
      <c r="C18" s="13">
        <v>1</v>
      </c>
      <c r="D18" s="13">
        <v>1</v>
      </c>
      <c r="E18" s="13">
        <v>1</v>
      </c>
      <c r="F18" s="13">
        <v>0</v>
      </c>
      <c r="G18" s="13">
        <v>1</v>
      </c>
      <c r="H18" s="13">
        <v>1</v>
      </c>
      <c r="I18" s="13">
        <v>0</v>
      </c>
      <c r="J18" s="13"/>
      <c r="K18" s="13">
        <v>1</v>
      </c>
      <c r="L18" s="13">
        <v>2</v>
      </c>
      <c r="M18" s="13">
        <v>2</v>
      </c>
      <c r="N18" s="13"/>
      <c r="O18" s="13">
        <v>1</v>
      </c>
      <c r="P18" s="13">
        <v>1</v>
      </c>
      <c r="Q18" s="13">
        <v>1</v>
      </c>
      <c r="R18" s="13">
        <v>2</v>
      </c>
      <c r="S18" s="13">
        <v>1</v>
      </c>
      <c r="T18" s="13">
        <v>1</v>
      </c>
      <c r="U18" s="13">
        <v>1</v>
      </c>
      <c r="V18" s="13">
        <v>1</v>
      </c>
      <c r="W18" s="13" t="s">
        <v>78</v>
      </c>
      <c r="X18" s="13">
        <v>3</v>
      </c>
      <c r="Y18" s="13">
        <v>2</v>
      </c>
      <c r="Z18" s="13">
        <v>1</v>
      </c>
      <c r="AA18" s="13">
        <v>2</v>
      </c>
      <c r="AB18" s="13">
        <v>3</v>
      </c>
      <c r="AC18" s="13">
        <v>4</v>
      </c>
      <c r="AD18" s="13">
        <v>4</v>
      </c>
      <c r="AE18" s="13" t="s">
        <v>79</v>
      </c>
      <c r="AF18" s="14"/>
    </row>
    <row r="19" spans="1:32" x14ac:dyDescent="0.35">
      <c r="A19" s="17" t="s">
        <v>81</v>
      </c>
      <c r="B19" s="17" t="s">
        <v>20</v>
      </c>
      <c r="C19" s="17">
        <v>1</v>
      </c>
      <c r="D19" s="17">
        <v>3</v>
      </c>
      <c r="E19" s="17">
        <v>1</v>
      </c>
      <c r="F19" s="17">
        <v>0</v>
      </c>
      <c r="G19" s="17">
        <v>0</v>
      </c>
      <c r="H19" s="17">
        <v>0</v>
      </c>
      <c r="I19" s="17">
        <v>0</v>
      </c>
      <c r="J19" s="17"/>
      <c r="K19" s="17">
        <v>1</v>
      </c>
      <c r="L19" s="17">
        <v>2</v>
      </c>
      <c r="M19" s="17">
        <v>1</v>
      </c>
      <c r="N19" s="17"/>
      <c r="O19" s="17">
        <v>3</v>
      </c>
      <c r="P19" s="17">
        <v>2</v>
      </c>
      <c r="Q19" s="17">
        <v>1</v>
      </c>
      <c r="R19" s="17">
        <v>1</v>
      </c>
      <c r="S19" s="17">
        <v>1</v>
      </c>
      <c r="T19" s="17">
        <v>1</v>
      </c>
      <c r="U19" s="17">
        <v>2</v>
      </c>
      <c r="V19" s="17">
        <v>1</v>
      </c>
      <c r="W19" s="17"/>
      <c r="X19" s="17">
        <v>2</v>
      </c>
      <c r="Y19" s="17">
        <v>2</v>
      </c>
      <c r="Z19" s="17">
        <v>1</v>
      </c>
      <c r="AA19" s="17">
        <v>1</v>
      </c>
      <c r="AB19" s="17">
        <v>3</v>
      </c>
      <c r="AC19" s="17">
        <v>2</v>
      </c>
      <c r="AD19" s="17">
        <v>3</v>
      </c>
      <c r="AE19" s="17"/>
      <c r="AF19" s="18"/>
    </row>
    <row r="20" spans="1:32" x14ac:dyDescent="0.35">
      <c r="A20" s="13" t="s">
        <v>82</v>
      </c>
      <c r="B20" s="13" t="s">
        <v>20</v>
      </c>
      <c r="C20" s="13">
        <v>1</v>
      </c>
      <c r="D20" s="13">
        <v>3</v>
      </c>
      <c r="E20" s="13">
        <v>2</v>
      </c>
      <c r="F20" s="13">
        <v>2</v>
      </c>
      <c r="G20" s="13">
        <v>3</v>
      </c>
      <c r="H20" s="13">
        <v>2</v>
      </c>
      <c r="I20" s="13">
        <v>2</v>
      </c>
      <c r="J20" s="13" t="s">
        <v>64</v>
      </c>
      <c r="K20" s="13">
        <v>4</v>
      </c>
      <c r="L20" s="13">
        <v>3</v>
      </c>
      <c r="M20" s="13">
        <v>4</v>
      </c>
      <c r="N20" s="13"/>
      <c r="O20" s="13">
        <v>2</v>
      </c>
      <c r="P20" s="13">
        <v>3</v>
      </c>
      <c r="Q20" s="13">
        <v>2</v>
      </c>
      <c r="R20" s="13">
        <v>3</v>
      </c>
      <c r="S20" s="13">
        <v>2</v>
      </c>
      <c r="T20" s="13">
        <v>4</v>
      </c>
      <c r="U20" s="13">
        <v>4</v>
      </c>
      <c r="V20" s="13">
        <v>2</v>
      </c>
      <c r="W20" s="13" t="s">
        <v>83</v>
      </c>
      <c r="X20" s="13">
        <v>2</v>
      </c>
      <c r="Y20" s="13">
        <v>1</v>
      </c>
      <c r="Z20" s="13">
        <v>2</v>
      </c>
      <c r="AA20" s="13">
        <v>1</v>
      </c>
      <c r="AB20" s="13">
        <v>3</v>
      </c>
      <c r="AC20" s="13">
        <v>3</v>
      </c>
      <c r="AD20" s="13">
        <v>3</v>
      </c>
      <c r="AE20" s="13" t="s">
        <v>84</v>
      </c>
      <c r="AF20" s="14"/>
    </row>
    <row r="21" spans="1:32" x14ac:dyDescent="0.35">
      <c r="A21" s="15" t="s">
        <v>85</v>
      </c>
      <c r="B21" s="15" t="s">
        <v>20</v>
      </c>
      <c r="C21" s="15">
        <v>1</v>
      </c>
      <c r="D21" s="15">
        <v>1</v>
      </c>
      <c r="E21" s="15">
        <v>2</v>
      </c>
      <c r="F21" s="15">
        <v>1</v>
      </c>
      <c r="G21" s="15">
        <v>1</v>
      </c>
      <c r="H21" s="15">
        <v>2</v>
      </c>
      <c r="I21" s="15">
        <v>1</v>
      </c>
      <c r="J21" s="15" t="s">
        <v>86</v>
      </c>
      <c r="K21" s="15">
        <v>2</v>
      </c>
      <c r="L21" s="15">
        <v>3</v>
      </c>
      <c r="M21" s="15">
        <v>1</v>
      </c>
      <c r="N21" s="15" t="s">
        <v>87</v>
      </c>
      <c r="O21" s="15">
        <v>1</v>
      </c>
      <c r="P21" s="15">
        <v>3</v>
      </c>
      <c r="Q21" s="15">
        <v>1</v>
      </c>
      <c r="R21" s="15">
        <v>1</v>
      </c>
      <c r="S21" s="15">
        <v>1</v>
      </c>
      <c r="T21" s="15">
        <v>2</v>
      </c>
      <c r="U21" s="15">
        <v>3</v>
      </c>
      <c r="V21" s="15">
        <v>1</v>
      </c>
      <c r="W21" s="15" t="s">
        <v>88</v>
      </c>
      <c r="X21" s="15">
        <v>3</v>
      </c>
      <c r="Y21" s="15">
        <v>1</v>
      </c>
      <c r="Z21" s="15">
        <v>1</v>
      </c>
      <c r="AA21" s="15">
        <v>2</v>
      </c>
      <c r="AB21" s="15">
        <v>4</v>
      </c>
      <c r="AC21" s="15">
        <v>2</v>
      </c>
      <c r="AD21" s="15">
        <v>3</v>
      </c>
      <c r="AE21" s="15" t="s">
        <v>89</v>
      </c>
      <c r="AF21" s="16"/>
    </row>
    <row r="22" spans="1:32" x14ac:dyDescent="0.35">
      <c r="A22" s="13" t="s">
        <v>90</v>
      </c>
      <c r="B22" s="13" t="s">
        <v>20</v>
      </c>
      <c r="C22" s="13">
        <v>1</v>
      </c>
      <c r="D22" s="13">
        <v>3</v>
      </c>
      <c r="E22" s="13">
        <v>0</v>
      </c>
      <c r="F22" s="13">
        <v>2</v>
      </c>
      <c r="G22" s="13">
        <v>3</v>
      </c>
      <c r="H22" s="13">
        <v>0</v>
      </c>
      <c r="I22" s="13">
        <v>0</v>
      </c>
      <c r="J22" s="13"/>
      <c r="K22" s="13">
        <v>3</v>
      </c>
      <c r="L22" s="13">
        <v>1</v>
      </c>
      <c r="M22" s="13">
        <v>1</v>
      </c>
      <c r="N22" s="13"/>
      <c r="O22" s="13">
        <v>3</v>
      </c>
      <c r="P22" s="13">
        <v>1</v>
      </c>
      <c r="Q22" s="13">
        <v>1</v>
      </c>
      <c r="R22" s="13">
        <v>3</v>
      </c>
      <c r="S22" s="13">
        <v>1</v>
      </c>
      <c r="T22" s="13">
        <v>3</v>
      </c>
      <c r="U22" s="13">
        <v>1</v>
      </c>
      <c r="V22" s="13">
        <v>1</v>
      </c>
      <c r="W22" s="13"/>
      <c r="X22" s="13">
        <v>2</v>
      </c>
      <c r="Y22" s="13">
        <v>3</v>
      </c>
      <c r="Z22" s="13">
        <v>2</v>
      </c>
      <c r="AA22" s="13">
        <v>2</v>
      </c>
      <c r="AB22" s="13">
        <v>3</v>
      </c>
      <c r="AC22" s="13">
        <v>3</v>
      </c>
      <c r="AD22" s="13">
        <v>3</v>
      </c>
      <c r="AE22" s="13"/>
      <c r="AF22" s="14"/>
    </row>
    <row r="23" spans="1:32" x14ac:dyDescent="0.35">
      <c r="A23" s="17" t="s">
        <v>28</v>
      </c>
      <c r="B23" s="17" t="s">
        <v>20</v>
      </c>
      <c r="C23" s="17">
        <v>1</v>
      </c>
      <c r="D23" s="17">
        <v>1</v>
      </c>
      <c r="E23" s="17">
        <v>4</v>
      </c>
      <c r="F23" s="17">
        <v>4</v>
      </c>
      <c r="G23" s="17">
        <v>1</v>
      </c>
      <c r="H23" s="17">
        <v>0</v>
      </c>
      <c r="I23" s="17">
        <v>0</v>
      </c>
      <c r="J23" s="17"/>
      <c r="K23" s="17">
        <v>1</v>
      </c>
      <c r="L23" s="17">
        <v>1</v>
      </c>
      <c r="M23" s="17">
        <v>5</v>
      </c>
      <c r="N23" s="17"/>
      <c r="O23" s="17">
        <v>4</v>
      </c>
      <c r="P23" s="17">
        <v>4</v>
      </c>
      <c r="Q23" s="17">
        <v>4</v>
      </c>
      <c r="R23" s="17">
        <v>3</v>
      </c>
      <c r="S23" s="17">
        <v>1</v>
      </c>
      <c r="T23" s="17">
        <v>3</v>
      </c>
      <c r="U23" s="17">
        <v>1</v>
      </c>
      <c r="V23" s="17">
        <v>1</v>
      </c>
      <c r="W23" s="17" t="s">
        <v>97</v>
      </c>
      <c r="X23" s="17">
        <v>1</v>
      </c>
      <c r="Y23" s="17">
        <v>5</v>
      </c>
      <c r="Z23" s="17">
        <v>2</v>
      </c>
      <c r="AA23" s="17">
        <v>4</v>
      </c>
      <c r="AB23" s="17">
        <v>3</v>
      </c>
      <c r="AC23" s="17">
        <v>1</v>
      </c>
      <c r="AD23" s="17">
        <v>1</v>
      </c>
      <c r="AE23" s="17"/>
      <c r="AF23" s="18" t="s">
        <v>98</v>
      </c>
    </row>
    <row r="24" spans="1:32" x14ac:dyDescent="0.35">
      <c r="A24" s="19" t="s">
        <v>99</v>
      </c>
      <c r="B24" s="19" t="s">
        <v>77</v>
      </c>
      <c r="C24" s="19">
        <v>1</v>
      </c>
      <c r="D24" s="19">
        <v>1</v>
      </c>
      <c r="E24" s="19">
        <v>3</v>
      </c>
      <c r="F24" s="19">
        <v>0</v>
      </c>
      <c r="G24" s="19">
        <v>0</v>
      </c>
      <c r="H24" s="19">
        <v>0</v>
      </c>
      <c r="I24" s="19">
        <v>3</v>
      </c>
      <c r="J24" s="19" t="s">
        <v>100</v>
      </c>
      <c r="K24" s="19">
        <v>1</v>
      </c>
      <c r="L24" s="19">
        <v>1</v>
      </c>
      <c r="M24" s="19">
        <v>3</v>
      </c>
      <c r="N24" s="19" t="s">
        <v>101</v>
      </c>
      <c r="O24" s="19">
        <v>2</v>
      </c>
      <c r="P24" s="19">
        <v>1</v>
      </c>
      <c r="Q24" s="19">
        <v>1</v>
      </c>
      <c r="R24" s="19">
        <v>3</v>
      </c>
      <c r="S24" s="19">
        <v>1</v>
      </c>
      <c r="T24" s="19">
        <v>4</v>
      </c>
      <c r="U24" s="19">
        <v>3</v>
      </c>
      <c r="V24" s="19">
        <v>2</v>
      </c>
      <c r="W24" s="19" t="s">
        <v>102</v>
      </c>
      <c r="X24" s="19">
        <v>4</v>
      </c>
      <c r="Y24" s="19">
        <v>4</v>
      </c>
      <c r="Z24" s="19">
        <v>1</v>
      </c>
      <c r="AA24" s="19">
        <v>2</v>
      </c>
      <c r="AB24" s="19">
        <v>5</v>
      </c>
      <c r="AC24" s="19">
        <v>2</v>
      </c>
      <c r="AD24" s="19">
        <v>3</v>
      </c>
      <c r="AE24" s="19" t="s">
        <v>103</v>
      </c>
      <c r="AF24" s="20"/>
    </row>
    <row r="25" spans="1:32" x14ac:dyDescent="0.35">
      <c r="A25" s="15" t="s">
        <v>116</v>
      </c>
      <c r="B25" s="15" t="s">
        <v>20</v>
      </c>
      <c r="C25" s="15">
        <v>1</v>
      </c>
      <c r="D25" s="15">
        <v>1</v>
      </c>
      <c r="E25" s="15">
        <v>0</v>
      </c>
      <c r="F25" s="15">
        <v>0</v>
      </c>
      <c r="G25" s="15">
        <v>0</v>
      </c>
      <c r="H25" s="15">
        <v>0</v>
      </c>
      <c r="I25" s="15">
        <v>0</v>
      </c>
      <c r="J25" s="15"/>
      <c r="K25" s="15">
        <v>0</v>
      </c>
      <c r="L25" s="15">
        <v>0</v>
      </c>
      <c r="M25" s="15">
        <v>1</v>
      </c>
      <c r="N25" s="15" t="s">
        <v>117</v>
      </c>
      <c r="O25" s="15">
        <v>0</v>
      </c>
      <c r="P25" s="15">
        <v>3</v>
      </c>
      <c r="Q25" s="15">
        <v>0</v>
      </c>
      <c r="R25" s="15">
        <v>1</v>
      </c>
      <c r="S25" s="15">
        <v>0</v>
      </c>
      <c r="T25" s="15">
        <v>0</v>
      </c>
      <c r="U25" s="15">
        <v>0</v>
      </c>
      <c r="V25" s="15">
        <v>3</v>
      </c>
      <c r="W25" s="15" t="s">
        <v>118</v>
      </c>
      <c r="X25" s="15">
        <v>4</v>
      </c>
      <c r="Y25" s="15">
        <v>2</v>
      </c>
      <c r="Z25" s="15">
        <v>0</v>
      </c>
      <c r="AA25" s="15">
        <v>1</v>
      </c>
      <c r="AB25" s="15">
        <v>5</v>
      </c>
      <c r="AC25" s="15">
        <v>4</v>
      </c>
      <c r="AD25" s="15">
        <v>4</v>
      </c>
      <c r="AE25" s="15"/>
      <c r="AF25" s="16"/>
    </row>
    <row r="26" spans="1:32" x14ac:dyDescent="0.35">
      <c r="A26" s="19" t="s">
        <v>127</v>
      </c>
      <c r="B26" s="19" t="s">
        <v>20</v>
      </c>
      <c r="C26" s="19">
        <v>1</v>
      </c>
      <c r="D26" s="19">
        <v>5</v>
      </c>
      <c r="E26" s="19">
        <v>1</v>
      </c>
      <c r="F26" s="19">
        <v>4</v>
      </c>
      <c r="G26" s="19">
        <v>3</v>
      </c>
      <c r="H26" s="19">
        <v>1</v>
      </c>
      <c r="I26" s="19">
        <v>2</v>
      </c>
      <c r="J26" s="19" t="s">
        <v>128</v>
      </c>
      <c r="K26" s="19">
        <v>2</v>
      </c>
      <c r="L26" s="19">
        <v>1</v>
      </c>
      <c r="M26" s="19">
        <v>4</v>
      </c>
      <c r="N26" s="19" t="s">
        <v>129</v>
      </c>
      <c r="O26" s="19">
        <v>5</v>
      </c>
      <c r="P26" s="19">
        <v>1</v>
      </c>
      <c r="Q26" s="19">
        <v>4</v>
      </c>
      <c r="R26" s="19">
        <v>3</v>
      </c>
      <c r="S26" s="19">
        <v>2</v>
      </c>
      <c r="T26" s="19">
        <v>2</v>
      </c>
      <c r="U26" s="19">
        <v>1</v>
      </c>
      <c r="V26" s="19">
        <v>4</v>
      </c>
      <c r="W26" s="19" t="s">
        <v>130</v>
      </c>
      <c r="X26" s="19">
        <v>2</v>
      </c>
      <c r="Y26" s="19">
        <v>5</v>
      </c>
      <c r="Z26" s="19">
        <v>3</v>
      </c>
      <c r="AA26" s="19">
        <v>2</v>
      </c>
      <c r="AB26" s="19">
        <v>1</v>
      </c>
      <c r="AC26" s="19">
        <v>1</v>
      </c>
      <c r="AD26" s="19">
        <v>1</v>
      </c>
      <c r="AE26" s="19" t="s">
        <v>131</v>
      </c>
      <c r="AF26" s="20" t="s">
        <v>132</v>
      </c>
    </row>
    <row r="27" spans="1:32" x14ac:dyDescent="0.35">
      <c r="A27" s="15" t="s">
        <v>138</v>
      </c>
      <c r="B27" s="15" t="s">
        <v>77</v>
      </c>
      <c r="C27" s="15">
        <v>1</v>
      </c>
      <c r="D27" s="15">
        <v>1</v>
      </c>
      <c r="E27" s="15">
        <v>0</v>
      </c>
      <c r="F27" s="15">
        <v>0</v>
      </c>
      <c r="G27" s="15">
        <v>0</v>
      </c>
      <c r="H27" s="15">
        <v>0</v>
      </c>
      <c r="I27" s="15">
        <v>0</v>
      </c>
      <c r="J27" s="15" t="s">
        <v>139</v>
      </c>
      <c r="K27" s="15">
        <v>3</v>
      </c>
      <c r="L27" s="15">
        <v>1</v>
      </c>
      <c r="M27" s="15">
        <v>1</v>
      </c>
      <c r="N27" s="15" t="s">
        <v>140</v>
      </c>
      <c r="O27" s="15">
        <v>1</v>
      </c>
      <c r="P27" s="15">
        <v>1</v>
      </c>
      <c r="Q27" s="15">
        <v>1</v>
      </c>
      <c r="R27" s="15">
        <v>2</v>
      </c>
      <c r="S27" s="15">
        <v>1</v>
      </c>
      <c r="T27" s="15">
        <v>2</v>
      </c>
      <c r="U27" s="15">
        <v>1</v>
      </c>
      <c r="V27" s="15">
        <v>1</v>
      </c>
      <c r="W27" s="15" t="s">
        <v>141</v>
      </c>
      <c r="X27" s="15">
        <v>3</v>
      </c>
      <c r="Y27" s="15">
        <v>2</v>
      </c>
      <c r="Z27" s="15">
        <v>0</v>
      </c>
      <c r="AA27" s="15">
        <v>1</v>
      </c>
      <c r="AB27" s="15">
        <v>4</v>
      </c>
      <c r="AC27" s="15">
        <v>3</v>
      </c>
      <c r="AD27" s="15">
        <v>3</v>
      </c>
      <c r="AE27" s="15"/>
      <c r="AF27" s="16"/>
    </row>
    <row r="28" spans="1:32" x14ac:dyDescent="0.35">
      <c r="A28" s="13" t="s">
        <v>143</v>
      </c>
      <c r="B28" s="13" t="s">
        <v>77</v>
      </c>
      <c r="C28" s="13">
        <v>1</v>
      </c>
      <c r="D28" s="13">
        <v>1</v>
      </c>
      <c r="E28" s="13">
        <v>1</v>
      </c>
      <c r="F28" s="13">
        <v>0</v>
      </c>
      <c r="G28" s="13">
        <v>3</v>
      </c>
      <c r="H28" s="13">
        <v>0</v>
      </c>
      <c r="I28" s="13">
        <v>0</v>
      </c>
      <c r="J28" s="13"/>
      <c r="K28" s="13">
        <v>1</v>
      </c>
      <c r="L28" s="13">
        <v>1</v>
      </c>
      <c r="M28" s="13">
        <v>1</v>
      </c>
      <c r="N28" s="13"/>
      <c r="O28" s="13">
        <v>1</v>
      </c>
      <c r="P28" s="13">
        <v>3</v>
      </c>
      <c r="Q28" s="13">
        <v>1</v>
      </c>
      <c r="R28" s="13">
        <v>1</v>
      </c>
      <c r="S28" s="13">
        <v>1</v>
      </c>
      <c r="T28" s="13">
        <v>2</v>
      </c>
      <c r="U28" s="13">
        <v>1</v>
      </c>
      <c r="V28" s="13">
        <v>1</v>
      </c>
      <c r="W28" s="13"/>
      <c r="X28" s="13">
        <v>3</v>
      </c>
      <c r="Y28" s="13">
        <v>4</v>
      </c>
      <c r="Z28" s="13">
        <v>0</v>
      </c>
      <c r="AA28" s="13">
        <v>0</v>
      </c>
      <c r="AB28" s="13">
        <v>5</v>
      </c>
      <c r="AC28" s="13">
        <v>2</v>
      </c>
      <c r="AD28" s="13">
        <v>3</v>
      </c>
      <c r="AE28" s="13" t="s">
        <v>144</v>
      </c>
      <c r="AF28" s="14" t="s">
        <v>145</v>
      </c>
    </row>
    <row r="29" spans="1:32" x14ac:dyDescent="0.35">
      <c r="A29" s="15" t="s">
        <v>115</v>
      </c>
      <c r="B29" s="15" t="s">
        <v>17</v>
      </c>
      <c r="C29" s="15">
        <v>1</v>
      </c>
      <c r="D29" s="15">
        <v>3</v>
      </c>
      <c r="E29" s="15">
        <v>1</v>
      </c>
      <c r="F29" s="15">
        <v>3</v>
      </c>
      <c r="G29" s="15">
        <v>4</v>
      </c>
      <c r="H29" s="15">
        <v>2</v>
      </c>
      <c r="I29" s="15">
        <v>0</v>
      </c>
      <c r="J29" s="15"/>
      <c r="K29" s="15">
        <v>5</v>
      </c>
      <c r="L29" s="15">
        <v>2</v>
      </c>
      <c r="M29" s="15">
        <v>3</v>
      </c>
      <c r="N29" s="15"/>
      <c r="O29" s="15">
        <v>4</v>
      </c>
      <c r="P29" s="15">
        <v>5</v>
      </c>
      <c r="Q29" s="15">
        <v>3</v>
      </c>
      <c r="R29" s="15">
        <v>2</v>
      </c>
      <c r="S29" s="15">
        <v>3</v>
      </c>
      <c r="T29" s="15">
        <v>3</v>
      </c>
      <c r="U29" s="15">
        <v>2</v>
      </c>
      <c r="V29" s="15">
        <v>1</v>
      </c>
      <c r="W29" s="15"/>
      <c r="X29" s="15">
        <v>2</v>
      </c>
      <c r="Y29" s="15">
        <v>2</v>
      </c>
      <c r="Z29" s="15">
        <v>3</v>
      </c>
      <c r="AA29" s="15">
        <v>2</v>
      </c>
      <c r="AB29" s="15">
        <v>5</v>
      </c>
      <c r="AC29" s="15">
        <v>5</v>
      </c>
      <c r="AD29" s="15">
        <v>5</v>
      </c>
      <c r="AE29" s="15"/>
      <c r="AF29" s="16"/>
    </row>
    <row r="30" spans="1:32" x14ac:dyDescent="0.35">
      <c r="A30" s="13" t="s">
        <v>159</v>
      </c>
      <c r="B30" s="13" t="s">
        <v>17</v>
      </c>
      <c r="C30" s="13">
        <v>1</v>
      </c>
      <c r="D30" s="13">
        <v>3</v>
      </c>
      <c r="E30" s="13">
        <v>1</v>
      </c>
      <c r="F30" s="13">
        <v>1</v>
      </c>
      <c r="G30" s="13">
        <v>2</v>
      </c>
      <c r="H30" s="13">
        <v>2</v>
      </c>
      <c r="I30" s="13">
        <v>0</v>
      </c>
      <c r="J30" s="13"/>
      <c r="K30" s="13">
        <v>2</v>
      </c>
      <c r="L30" s="13">
        <v>1</v>
      </c>
      <c r="M30" s="13">
        <v>2</v>
      </c>
      <c r="N30" s="13"/>
      <c r="O30" s="13">
        <v>4</v>
      </c>
      <c r="P30" s="13">
        <v>2</v>
      </c>
      <c r="Q30" s="13">
        <v>2</v>
      </c>
      <c r="R30" s="13">
        <v>3</v>
      </c>
      <c r="S30" s="13">
        <v>3</v>
      </c>
      <c r="T30" s="13">
        <v>3</v>
      </c>
      <c r="U30" s="13">
        <v>1</v>
      </c>
      <c r="V30" s="13">
        <v>2</v>
      </c>
      <c r="W30" s="13"/>
      <c r="X30" s="13">
        <v>2</v>
      </c>
      <c r="Y30" s="13">
        <v>2</v>
      </c>
      <c r="Z30" s="13">
        <v>3</v>
      </c>
      <c r="AA30" s="13">
        <v>2</v>
      </c>
      <c r="AB30" s="13">
        <v>4</v>
      </c>
      <c r="AC30" s="13">
        <v>3</v>
      </c>
      <c r="AD30" s="13">
        <v>5</v>
      </c>
      <c r="AE30" s="13" t="s">
        <v>160</v>
      </c>
      <c r="AF30" s="14"/>
    </row>
    <row r="31" spans="1:32" x14ac:dyDescent="0.35">
      <c r="A31" s="15" t="s">
        <v>161</v>
      </c>
      <c r="B31" s="15" t="s">
        <v>20</v>
      </c>
      <c r="C31" s="15">
        <v>1</v>
      </c>
      <c r="D31" s="15">
        <v>3</v>
      </c>
      <c r="E31" s="15">
        <v>1</v>
      </c>
      <c r="F31" s="15">
        <v>3</v>
      </c>
      <c r="G31" s="15">
        <v>2</v>
      </c>
      <c r="H31" s="15">
        <v>1</v>
      </c>
      <c r="I31" s="15">
        <v>0</v>
      </c>
      <c r="J31" s="15"/>
      <c r="K31" s="15">
        <v>1</v>
      </c>
      <c r="L31" s="15">
        <v>3</v>
      </c>
      <c r="M31" s="15">
        <v>1</v>
      </c>
      <c r="N31" s="15"/>
      <c r="O31" s="15">
        <v>2</v>
      </c>
      <c r="P31" s="15">
        <v>1</v>
      </c>
      <c r="Q31" s="15">
        <v>2</v>
      </c>
      <c r="R31" s="15">
        <v>3</v>
      </c>
      <c r="S31" s="15">
        <v>1</v>
      </c>
      <c r="T31" s="15">
        <v>1</v>
      </c>
      <c r="U31" s="15">
        <v>3</v>
      </c>
      <c r="V31" s="15">
        <v>1</v>
      </c>
      <c r="W31" s="15"/>
      <c r="X31" s="15">
        <v>2</v>
      </c>
      <c r="Y31" s="15">
        <v>2</v>
      </c>
      <c r="Z31" s="15">
        <v>1</v>
      </c>
      <c r="AA31" s="15">
        <v>3</v>
      </c>
      <c r="AB31" s="15">
        <v>4</v>
      </c>
      <c r="AC31" s="15">
        <v>3</v>
      </c>
      <c r="AD31" s="15">
        <v>4</v>
      </c>
      <c r="AE31" s="15"/>
      <c r="AF31" s="16"/>
    </row>
    <row r="32" spans="1:32" x14ac:dyDescent="0.35">
      <c r="A32" s="13" t="s">
        <v>45</v>
      </c>
      <c r="B32" s="13" t="s">
        <v>17</v>
      </c>
      <c r="C32" s="13">
        <v>1</v>
      </c>
      <c r="D32" s="13">
        <v>2</v>
      </c>
      <c r="E32" s="13">
        <v>0</v>
      </c>
      <c r="F32" s="13">
        <v>0</v>
      </c>
      <c r="G32" s="13">
        <v>3</v>
      </c>
      <c r="H32" s="13">
        <v>2</v>
      </c>
      <c r="I32" s="13">
        <v>2</v>
      </c>
      <c r="J32" s="13" t="s">
        <v>37</v>
      </c>
      <c r="K32" s="13">
        <v>3</v>
      </c>
      <c r="L32" s="13">
        <v>3</v>
      </c>
      <c r="M32" s="13">
        <v>3</v>
      </c>
      <c r="N32" s="13" t="s">
        <v>171</v>
      </c>
      <c r="O32" s="13">
        <v>2</v>
      </c>
      <c r="P32" s="13">
        <v>1</v>
      </c>
      <c r="Q32" s="13">
        <v>2</v>
      </c>
      <c r="R32" s="13">
        <v>4</v>
      </c>
      <c r="S32" s="13">
        <v>3</v>
      </c>
      <c r="T32" s="13">
        <v>4</v>
      </c>
      <c r="U32" s="13">
        <v>3</v>
      </c>
      <c r="V32" s="13">
        <v>3</v>
      </c>
      <c r="W32" s="13" t="s">
        <v>171</v>
      </c>
      <c r="X32" s="13">
        <v>4</v>
      </c>
      <c r="Y32" s="13">
        <v>1</v>
      </c>
      <c r="Z32" s="13">
        <v>1</v>
      </c>
      <c r="AA32" s="13">
        <v>1</v>
      </c>
      <c r="AB32" s="13">
        <v>4</v>
      </c>
      <c r="AC32" s="13">
        <v>4</v>
      </c>
      <c r="AD32" s="13">
        <v>4</v>
      </c>
      <c r="AE32" s="13" t="s">
        <v>172</v>
      </c>
      <c r="AF32" s="14"/>
    </row>
    <row r="33" spans="1:32" s="29" customFormat="1" ht="13.15" x14ac:dyDescent="0.4">
      <c r="A33" s="28" t="s">
        <v>295</v>
      </c>
      <c r="D33" s="30">
        <f>AVERAGE(D2:D32)</f>
        <v>2.225806451612903</v>
      </c>
      <c r="E33" s="30">
        <f t="shared" ref="E33:AD33" si="0">AVERAGE(E2:E32)</f>
        <v>1.1935483870967742</v>
      </c>
      <c r="F33" s="30">
        <f t="shared" si="0"/>
        <v>1.064516129032258</v>
      </c>
      <c r="G33" s="30">
        <f t="shared" si="0"/>
        <v>1.6451612903225807</v>
      </c>
      <c r="H33" s="30">
        <f t="shared" si="0"/>
        <v>0.90322580645161288</v>
      </c>
      <c r="I33" s="30">
        <f t="shared" si="0"/>
        <v>0.64516129032258063</v>
      </c>
      <c r="J33" s="30"/>
      <c r="K33" s="30">
        <f t="shared" si="0"/>
        <v>2.225806451612903</v>
      </c>
      <c r="L33" s="30">
        <f t="shared" si="0"/>
        <v>1.8387096774193548</v>
      </c>
      <c r="M33" s="30">
        <f t="shared" si="0"/>
        <v>2.096774193548387</v>
      </c>
      <c r="N33" s="30"/>
      <c r="O33" s="30">
        <f t="shared" si="0"/>
        <v>2.129032258064516</v>
      </c>
      <c r="P33" s="30">
        <f t="shared" si="0"/>
        <v>2.193548387096774</v>
      </c>
      <c r="Q33" s="30">
        <f t="shared" si="0"/>
        <v>1.8709677419354838</v>
      </c>
      <c r="R33" s="30">
        <f t="shared" si="0"/>
        <v>2.193548387096774</v>
      </c>
      <c r="S33" s="30">
        <f t="shared" si="0"/>
        <v>1.5806451612903225</v>
      </c>
      <c r="T33" s="30">
        <f t="shared" si="0"/>
        <v>2.4516129032258065</v>
      </c>
      <c r="U33" s="30">
        <f t="shared" si="0"/>
        <v>1.903225806451613</v>
      </c>
      <c r="V33" s="30">
        <f t="shared" si="0"/>
        <v>1.6451612903225807</v>
      </c>
      <c r="W33" s="30"/>
      <c r="X33" s="30">
        <f t="shared" si="0"/>
        <v>2.5806451612903225</v>
      </c>
      <c r="Y33" s="30">
        <f t="shared" si="0"/>
        <v>2.5483870967741935</v>
      </c>
      <c r="Z33" s="30">
        <f t="shared" si="0"/>
        <v>1.4193548387096775</v>
      </c>
      <c r="AA33" s="30">
        <f t="shared" si="0"/>
        <v>1.7419354838709677</v>
      </c>
      <c r="AB33" s="30">
        <f t="shared" si="0"/>
        <v>3.5806451612903225</v>
      </c>
      <c r="AC33" s="30">
        <f t="shared" si="0"/>
        <v>2.774193548387097</v>
      </c>
      <c r="AD33" s="30">
        <f t="shared" si="0"/>
        <v>3.225806451612903</v>
      </c>
    </row>
    <row r="35" spans="1:32" ht="13.15" x14ac:dyDescent="0.35">
      <c r="A35" s="24" t="s">
        <v>77</v>
      </c>
    </row>
    <row r="36" spans="1:32" ht="51" x14ac:dyDescent="0.35">
      <c r="A36" s="10" t="s">
        <v>343</v>
      </c>
      <c r="B36" s="10" t="s">
        <v>344</v>
      </c>
      <c r="C36" s="10" t="s">
        <v>345</v>
      </c>
      <c r="D36" s="21" t="s">
        <v>346</v>
      </c>
      <c r="E36" s="21" t="s">
        <v>347</v>
      </c>
      <c r="F36" s="21" t="s">
        <v>348</v>
      </c>
      <c r="G36" s="21" t="s">
        <v>349</v>
      </c>
      <c r="H36" s="22" t="s">
        <v>350</v>
      </c>
      <c r="I36" s="22" t="s">
        <v>351</v>
      </c>
      <c r="J36" s="10" t="s">
        <v>352</v>
      </c>
      <c r="K36" s="22" t="s">
        <v>37</v>
      </c>
      <c r="L36" s="22" t="s">
        <v>290</v>
      </c>
      <c r="M36" s="22" t="s">
        <v>291</v>
      </c>
      <c r="N36" s="10" t="s">
        <v>5</v>
      </c>
      <c r="O36" s="21" t="s">
        <v>294</v>
      </c>
      <c r="P36" s="21" t="s">
        <v>292</v>
      </c>
      <c r="Q36" s="21" t="s">
        <v>293</v>
      </c>
      <c r="R36" s="21" t="s">
        <v>47</v>
      </c>
      <c r="S36" s="22" t="s">
        <v>288</v>
      </c>
      <c r="T36" s="22" t="s">
        <v>37</v>
      </c>
      <c r="U36" s="22" t="s">
        <v>290</v>
      </c>
      <c r="V36" s="22" t="s">
        <v>291</v>
      </c>
      <c r="W36" s="10" t="s">
        <v>6</v>
      </c>
      <c r="X36" s="11" t="s">
        <v>7</v>
      </c>
      <c r="Y36" s="10" t="s">
        <v>8</v>
      </c>
      <c r="Z36" s="10" t="s">
        <v>9</v>
      </c>
      <c r="AA36" s="10" t="s">
        <v>10</v>
      </c>
      <c r="AB36" s="10" t="s">
        <v>11</v>
      </c>
      <c r="AC36" s="10" t="s">
        <v>12</v>
      </c>
      <c r="AD36" s="10" t="s">
        <v>13</v>
      </c>
      <c r="AE36" s="11" t="s">
        <v>14</v>
      </c>
      <c r="AF36" s="12" t="s">
        <v>15</v>
      </c>
    </row>
    <row r="37" spans="1:32" x14ac:dyDescent="0.35">
      <c r="A37" s="13" t="s">
        <v>76</v>
      </c>
      <c r="B37" s="13" t="s">
        <v>77</v>
      </c>
      <c r="C37" s="13">
        <v>1</v>
      </c>
      <c r="D37" s="13">
        <v>1</v>
      </c>
      <c r="E37" s="13">
        <v>1</v>
      </c>
      <c r="F37" s="13">
        <v>0</v>
      </c>
      <c r="G37" s="13">
        <v>1</v>
      </c>
      <c r="H37" s="13">
        <v>1</v>
      </c>
      <c r="I37" s="13">
        <v>0</v>
      </c>
      <c r="J37" s="13"/>
      <c r="K37" s="13">
        <v>1</v>
      </c>
      <c r="L37" s="13">
        <v>2</v>
      </c>
      <c r="M37" s="13">
        <v>2</v>
      </c>
      <c r="N37" s="13"/>
      <c r="O37" s="13">
        <v>1</v>
      </c>
      <c r="P37" s="13">
        <v>1</v>
      </c>
      <c r="Q37" s="13">
        <v>1</v>
      </c>
      <c r="R37" s="13">
        <v>2</v>
      </c>
      <c r="S37" s="13">
        <v>1</v>
      </c>
      <c r="T37" s="13">
        <v>1</v>
      </c>
      <c r="U37" s="13">
        <v>1</v>
      </c>
      <c r="V37" s="13">
        <v>1</v>
      </c>
      <c r="W37" s="13" t="s">
        <v>78</v>
      </c>
      <c r="X37" s="13">
        <v>3</v>
      </c>
      <c r="Y37" s="13">
        <v>2</v>
      </c>
      <c r="Z37" s="13">
        <v>1</v>
      </c>
      <c r="AA37" s="13">
        <v>2</v>
      </c>
      <c r="AB37" s="13">
        <v>3</v>
      </c>
      <c r="AC37" s="13">
        <v>4</v>
      </c>
      <c r="AD37" s="13">
        <v>4</v>
      </c>
      <c r="AE37" s="13" t="s">
        <v>79</v>
      </c>
      <c r="AF37" s="14"/>
    </row>
    <row r="38" spans="1:32" x14ac:dyDescent="0.35">
      <c r="A38" s="19" t="s">
        <v>99</v>
      </c>
      <c r="B38" s="19" t="s">
        <v>77</v>
      </c>
      <c r="C38" s="19">
        <v>1</v>
      </c>
      <c r="D38" s="19">
        <v>1</v>
      </c>
      <c r="E38" s="19">
        <v>3</v>
      </c>
      <c r="F38" s="19">
        <v>0</v>
      </c>
      <c r="G38" s="19">
        <v>0</v>
      </c>
      <c r="H38" s="19">
        <v>0</v>
      </c>
      <c r="I38" s="19">
        <v>3</v>
      </c>
      <c r="J38" s="19" t="s">
        <v>100</v>
      </c>
      <c r="K38" s="19">
        <v>1</v>
      </c>
      <c r="L38" s="19">
        <v>1</v>
      </c>
      <c r="M38" s="19">
        <v>3</v>
      </c>
      <c r="N38" s="19" t="s">
        <v>101</v>
      </c>
      <c r="O38" s="19">
        <v>2</v>
      </c>
      <c r="P38" s="19">
        <v>1</v>
      </c>
      <c r="Q38" s="19">
        <v>1</v>
      </c>
      <c r="R38" s="19">
        <v>3</v>
      </c>
      <c r="S38" s="19">
        <v>1</v>
      </c>
      <c r="T38" s="19">
        <v>4</v>
      </c>
      <c r="U38" s="19">
        <v>3</v>
      </c>
      <c r="V38" s="19">
        <v>2</v>
      </c>
      <c r="W38" s="19" t="s">
        <v>102</v>
      </c>
      <c r="X38" s="19">
        <v>4</v>
      </c>
      <c r="Y38" s="19">
        <v>4</v>
      </c>
      <c r="Z38" s="19">
        <v>1</v>
      </c>
      <c r="AA38" s="19">
        <v>2</v>
      </c>
      <c r="AB38" s="19">
        <v>5</v>
      </c>
      <c r="AC38" s="19">
        <v>2</v>
      </c>
      <c r="AD38" s="19">
        <v>3</v>
      </c>
      <c r="AE38" s="19" t="s">
        <v>103</v>
      </c>
      <c r="AF38" s="20"/>
    </row>
    <row r="39" spans="1:32" x14ac:dyDescent="0.35">
      <c r="A39" s="15" t="s">
        <v>138</v>
      </c>
      <c r="B39" s="15" t="s">
        <v>77</v>
      </c>
      <c r="C39" s="15">
        <v>1</v>
      </c>
      <c r="D39" s="15">
        <v>1</v>
      </c>
      <c r="E39" s="15">
        <v>0</v>
      </c>
      <c r="F39" s="15">
        <v>0</v>
      </c>
      <c r="G39" s="15">
        <v>0</v>
      </c>
      <c r="H39" s="15">
        <v>0</v>
      </c>
      <c r="I39" s="15">
        <v>0</v>
      </c>
      <c r="J39" s="15" t="s">
        <v>139</v>
      </c>
      <c r="K39" s="15">
        <v>3</v>
      </c>
      <c r="L39" s="15">
        <v>1</v>
      </c>
      <c r="M39" s="15">
        <v>1</v>
      </c>
      <c r="N39" s="15" t="s">
        <v>140</v>
      </c>
      <c r="O39" s="15">
        <v>1</v>
      </c>
      <c r="P39" s="15">
        <v>1</v>
      </c>
      <c r="Q39" s="15">
        <v>1</v>
      </c>
      <c r="R39" s="15">
        <v>2</v>
      </c>
      <c r="S39" s="15">
        <v>1</v>
      </c>
      <c r="T39" s="15">
        <v>2</v>
      </c>
      <c r="U39" s="15">
        <v>1</v>
      </c>
      <c r="V39" s="15">
        <v>1</v>
      </c>
      <c r="W39" s="15" t="s">
        <v>141</v>
      </c>
      <c r="X39" s="15">
        <v>3</v>
      </c>
      <c r="Y39" s="15">
        <v>2</v>
      </c>
      <c r="Z39" s="15">
        <v>0</v>
      </c>
      <c r="AA39" s="15">
        <v>1</v>
      </c>
      <c r="AB39" s="15">
        <v>4</v>
      </c>
      <c r="AC39" s="15">
        <v>3</v>
      </c>
      <c r="AD39" s="15">
        <v>3</v>
      </c>
      <c r="AE39" s="15"/>
      <c r="AF39" s="16"/>
    </row>
    <row r="40" spans="1:32" x14ac:dyDescent="0.35">
      <c r="A40" s="13" t="s">
        <v>143</v>
      </c>
      <c r="B40" s="13" t="s">
        <v>77</v>
      </c>
      <c r="C40" s="13">
        <v>1</v>
      </c>
      <c r="D40" s="13">
        <v>1</v>
      </c>
      <c r="E40" s="13">
        <v>1</v>
      </c>
      <c r="F40" s="13">
        <v>0</v>
      </c>
      <c r="G40" s="13">
        <v>3</v>
      </c>
      <c r="H40" s="13">
        <v>0</v>
      </c>
      <c r="I40" s="13">
        <v>0</v>
      </c>
      <c r="J40" s="13"/>
      <c r="K40" s="13">
        <v>1</v>
      </c>
      <c r="L40" s="13">
        <v>1</v>
      </c>
      <c r="M40" s="13">
        <v>1</v>
      </c>
      <c r="N40" s="13"/>
      <c r="O40" s="13">
        <v>1</v>
      </c>
      <c r="P40" s="13">
        <v>3</v>
      </c>
      <c r="Q40" s="13">
        <v>1</v>
      </c>
      <c r="R40" s="13">
        <v>1</v>
      </c>
      <c r="S40" s="13">
        <v>1</v>
      </c>
      <c r="T40" s="13">
        <v>2</v>
      </c>
      <c r="U40" s="13">
        <v>1</v>
      </c>
      <c r="V40" s="13">
        <v>1</v>
      </c>
      <c r="W40" s="13"/>
      <c r="X40" s="13">
        <v>3</v>
      </c>
      <c r="Y40" s="13">
        <v>4</v>
      </c>
      <c r="Z40" s="13">
        <v>0</v>
      </c>
      <c r="AA40" s="13">
        <v>0</v>
      </c>
      <c r="AB40" s="13">
        <v>5</v>
      </c>
      <c r="AC40" s="13">
        <v>2</v>
      </c>
      <c r="AD40" s="13">
        <v>3</v>
      </c>
      <c r="AE40" s="13" t="s">
        <v>144</v>
      </c>
      <c r="AF40" s="14" t="s">
        <v>145</v>
      </c>
    </row>
    <row r="41" spans="1:32" s="29" customFormat="1" ht="13.15" x14ac:dyDescent="0.4">
      <c r="A41" s="31" t="s">
        <v>295</v>
      </c>
      <c r="D41" s="30">
        <f>AVERAGE(D37:D40)</f>
        <v>1</v>
      </c>
      <c r="E41" s="30">
        <f t="shared" ref="E41:AD41" si="1">AVERAGE(E37:E40)</f>
        <v>1.25</v>
      </c>
      <c r="F41" s="30">
        <f t="shared" si="1"/>
        <v>0</v>
      </c>
      <c r="G41" s="30">
        <f t="shared" si="1"/>
        <v>1</v>
      </c>
      <c r="H41" s="30">
        <f t="shared" si="1"/>
        <v>0.25</v>
      </c>
      <c r="I41" s="30">
        <f t="shared" si="1"/>
        <v>0.75</v>
      </c>
      <c r="J41" s="30"/>
      <c r="K41" s="30">
        <f t="shared" si="1"/>
        <v>1.5</v>
      </c>
      <c r="L41" s="30">
        <f t="shared" si="1"/>
        <v>1.25</v>
      </c>
      <c r="M41" s="30">
        <f t="shared" si="1"/>
        <v>1.75</v>
      </c>
      <c r="N41" s="30"/>
      <c r="O41" s="30">
        <f t="shared" si="1"/>
        <v>1.25</v>
      </c>
      <c r="P41" s="30">
        <f t="shared" si="1"/>
        <v>1.5</v>
      </c>
      <c r="Q41" s="30">
        <f t="shared" si="1"/>
        <v>1</v>
      </c>
      <c r="R41" s="30">
        <f t="shared" si="1"/>
        <v>2</v>
      </c>
      <c r="S41" s="30">
        <f t="shared" si="1"/>
        <v>1</v>
      </c>
      <c r="T41" s="30">
        <f t="shared" si="1"/>
        <v>2.25</v>
      </c>
      <c r="U41" s="30">
        <f t="shared" si="1"/>
        <v>1.5</v>
      </c>
      <c r="V41" s="30">
        <f t="shared" si="1"/>
        <v>1.25</v>
      </c>
      <c r="W41" s="30"/>
      <c r="X41" s="30">
        <f t="shared" si="1"/>
        <v>3.25</v>
      </c>
      <c r="Y41" s="30">
        <f t="shared" si="1"/>
        <v>3</v>
      </c>
      <c r="Z41" s="30">
        <f t="shared" si="1"/>
        <v>0.5</v>
      </c>
      <c r="AA41" s="30">
        <f t="shared" si="1"/>
        <v>1.25</v>
      </c>
      <c r="AB41" s="30">
        <f t="shared" si="1"/>
        <v>4.25</v>
      </c>
      <c r="AC41" s="30">
        <f t="shared" si="1"/>
        <v>2.75</v>
      </c>
      <c r="AD41" s="30">
        <f t="shared" si="1"/>
        <v>3.25</v>
      </c>
    </row>
    <row r="43" spans="1:32" ht="13.15" x14ac:dyDescent="0.35">
      <c r="A43" s="25" t="s">
        <v>17</v>
      </c>
    </row>
    <row r="44" spans="1:32" ht="51" x14ac:dyDescent="0.35">
      <c r="A44" s="10" t="s">
        <v>343</v>
      </c>
      <c r="B44" s="10" t="s">
        <v>344</v>
      </c>
      <c r="C44" s="10" t="s">
        <v>345</v>
      </c>
      <c r="D44" s="21" t="s">
        <v>346</v>
      </c>
      <c r="E44" s="21" t="s">
        <v>347</v>
      </c>
      <c r="F44" s="21" t="s">
        <v>348</v>
      </c>
      <c r="G44" s="21" t="s">
        <v>349</v>
      </c>
      <c r="H44" s="22" t="s">
        <v>350</v>
      </c>
      <c r="I44" s="22" t="s">
        <v>351</v>
      </c>
      <c r="J44" s="10" t="s">
        <v>352</v>
      </c>
      <c r="K44" s="22" t="s">
        <v>37</v>
      </c>
      <c r="L44" s="22" t="s">
        <v>290</v>
      </c>
      <c r="M44" s="22" t="s">
        <v>291</v>
      </c>
      <c r="N44" s="10" t="s">
        <v>5</v>
      </c>
      <c r="O44" s="21" t="s">
        <v>294</v>
      </c>
      <c r="P44" s="21" t="s">
        <v>292</v>
      </c>
      <c r="Q44" s="21" t="s">
        <v>293</v>
      </c>
      <c r="R44" s="21" t="s">
        <v>47</v>
      </c>
      <c r="S44" s="22" t="s">
        <v>288</v>
      </c>
      <c r="T44" s="22" t="s">
        <v>37</v>
      </c>
      <c r="U44" s="22" t="s">
        <v>290</v>
      </c>
      <c r="V44" s="22" t="s">
        <v>291</v>
      </c>
      <c r="W44" s="10" t="s">
        <v>6</v>
      </c>
      <c r="X44" s="11" t="s">
        <v>7</v>
      </c>
      <c r="Y44" s="10" t="s">
        <v>8</v>
      </c>
      <c r="Z44" s="10" t="s">
        <v>9</v>
      </c>
      <c r="AA44" s="10" t="s">
        <v>10</v>
      </c>
      <c r="AB44" s="10" t="s">
        <v>11</v>
      </c>
      <c r="AC44" s="10" t="s">
        <v>12</v>
      </c>
      <c r="AD44" s="10" t="s">
        <v>13</v>
      </c>
      <c r="AE44" s="11" t="s">
        <v>14</v>
      </c>
      <c r="AF44" s="12" t="s">
        <v>15</v>
      </c>
    </row>
    <row r="45" spans="1:32" x14ac:dyDescent="0.35">
      <c r="A45" s="13" t="s">
        <v>16</v>
      </c>
      <c r="B45" s="13" t="s">
        <v>17</v>
      </c>
      <c r="C45" s="13">
        <v>1</v>
      </c>
      <c r="D45" s="13">
        <v>1</v>
      </c>
      <c r="E45" s="13">
        <v>0</v>
      </c>
      <c r="F45" s="13">
        <v>0</v>
      </c>
      <c r="G45" s="13">
        <v>1</v>
      </c>
      <c r="H45" s="13">
        <v>0</v>
      </c>
      <c r="I45" s="13">
        <v>0</v>
      </c>
      <c r="J45" s="13"/>
      <c r="K45" s="13">
        <v>1</v>
      </c>
      <c r="L45" s="13">
        <v>3</v>
      </c>
      <c r="M45" s="13">
        <v>1</v>
      </c>
      <c r="N45" s="13"/>
      <c r="O45" s="13">
        <v>3</v>
      </c>
      <c r="P45" s="13">
        <v>1</v>
      </c>
      <c r="Q45" s="13">
        <v>3</v>
      </c>
      <c r="R45" s="13">
        <v>2</v>
      </c>
      <c r="S45" s="13">
        <v>1</v>
      </c>
      <c r="T45" s="13">
        <v>1</v>
      </c>
      <c r="U45" s="13">
        <v>4</v>
      </c>
      <c r="V45" s="13">
        <v>1</v>
      </c>
      <c r="W45" s="13"/>
      <c r="X45" s="13">
        <v>2</v>
      </c>
      <c r="Y45" s="13">
        <v>4</v>
      </c>
      <c r="Z45" s="13">
        <v>3</v>
      </c>
      <c r="AA45" s="13">
        <v>2</v>
      </c>
      <c r="AB45" s="13">
        <v>3</v>
      </c>
      <c r="AC45" s="13">
        <v>2</v>
      </c>
      <c r="AD45" s="13">
        <v>3</v>
      </c>
      <c r="AE45" s="13" t="s">
        <v>18</v>
      </c>
      <c r="AF45" s="14"/>
    </row>
    <row r="46" spans="1:32" x14ac:dyDescent="0.35">
      <c r="A46" s="15" t="s">
        <v>36</v>
      </c>
      <c r="B46" s="15" t="s">
        <v>17</v>
      </c>
      <c r="C46" s="15">
        <v>1</v>
      </c>
      <c r="D46" s="15">
        <v>3</v>
      </c>
      <c r="E46" s="15">
        <v>1</v>
      </c>
      <c r="F46" s="15">
        <v>1</v>
      </c>
      <c r="G46" s="15">
        <v>2</v>
      </c>
      <c r="H46" s="15">
        <v>2</v>
      </c>
      <c r="I46" s="15">
        <v>3</v>
      </c>
      <c r="J46" s="15" t="s">
        <v>37</v>
      </c>
      <c r="K46" s="15">
        <v>3</v>
      </c>
      <c r="L46" s="15">
        <v>2</v>
      </c>
      <c r="M46" s="15">
        <v>3</v>
      </c>
      <c r="N46" s="15"/>
      <c r="O46" s="15">
        <v>3</v>
      </c>
      <c r="P46" s="15">
        <v>2</v>
      </c>
      <c r="Q46" s="15">
        <v>2</v>
      </c>
      <c r="R46" s="15">
        <v>3</v>
      </c>
      <c r="S46" s="15">
        <v>2</v>
      </c>
      <c r="T46" s="15">
        <v>4</v>
      </c>
      <c r="U46" s="15">
        <v>2</v>
      </c>
      <c r="V46" s="15">
        <v>3</v>
      </c>
      <c r="W46" s="15"/>
      <c r="X46" s="15">
        <v>3</v>
      </c>
      <c r="Y46" s="15">
        <v>3</v>
      </c>
      <c r="Z46" s="15">
        <v>2</v>
      </c>
      <c r="AA46" s="15">
        <v>4</v>
      </c>
      <c r="AB46" s="15">
        <v>4</v>
      </c>
      <c r="AC46" s="15">
        <v>4</v>
      </c>
      <c r="AD46" s="15">
        <v>5</v>
      </c>
      <c r="AE46" s="15">
        <v>7</v>
      </c>
      <c r="AF46" s="16" t="s">
        <v>38</v>
      </c>
    </row>
    <row r="47" spans="1:32" x14ac:dyDescent="0.35">
      <c r="A47" s="15" t="s">
        <v>49</v>
      </c>
      <c r="B47" s="15" t="s">
        <v>17</v>
      </c>
      <c r="C47" s="15">
        <v>1</v>
      </c>
      <c r="D47" s="15">
        <v>1</v>
      </c>
      <c r="E47" s="15">
        <v>0</v>
      </c>
      <c r="F47" s="15">
        <v>0</v>
      </c>
      <c r="G47" s="15">
        <v>0</v>
      </c>
      <c r="H47" s="15">
        <v>0</v>
      </c>
      <c r="I47" s="15">
        <v>0</v>
      </c>
      <c r="J47" s="15" t="s">
        <v>50</v>
      </c>
      <c r="K47" s="15">
        <v>1</v>
      </c>
      <c r="L47" s="15">
        <v>1</v>
      </c>
      <c r="M47" s="15">
        <v>2</v>
      </c>
      <c r="N47" s="15" t="s">
        <v>51</v>
      </c>
      <c r="O47" s="15">
        <v>1</v>
      </c>
      <c r="P47" s="15">
        <v>1</v>
      </c>
      <c r="Q47" s="15">
        <v>1</v>
      </c>
      <c r="R47" s="15">
        <v>1</v>
      </c>
      <c r="S47" s="15">
        <v>1</v>
      </c>
      <c r="T47" s="15">
        <v>1</v>
      </c>
      <c r="U47" s="15">
        <v>1</v>
      </c>
      <c r="V47" s="15">
        <v>1</v>
      </c>
      <c r="W47" s="15" t="s">
        <v>51</v>
      </c>
      <c r="X47" s="15">
        <v>1</v>
      </c>
      <c r="Y47" s="15">
        <v>1</v>
      </c>
      <c r="Z47" s="15">
        <v>0</v>
      </c>
      <c r="AA47" s="15">
        <v>1</v>
      </c>
      <c r="AB47" s="15">
        <v>1</v>
      </c>
      <c r="AC47" s="15">
        <v>1</v>
      </c>
      <c r="AD47" s="15">
        <v>1</v>
      </c>
      <c r="AE47" s="15"/>
      <c r="AF47" s="16"/>
    </row>
    <row r="48" spans="1:32" x14ac:dyDescent="0.35">
      <c r="A48" s="15" t="s">
        <v>55</v>
      </c>
      <c r="B48" s="15" t="s">
        <v>17</v>
      </c>
      <c r="C48" s="15">
        <v>1</v>
      </c>
      <c r="D48" s="15">
        <v>3</v>
      </c>
      <c r="E48" s="15">
        <v>2</v>
      </c>
      <c r="F48" s="15">
        <v>1</v>
      </c>
      <c r="G48" s="15">
        <v>0</v>
      </c>
      <c r="H48" s="15">
        <v>0</v>
      </c>
      <c r="I48" s="15">
        <v>2</v>
      </c>
      <c r="J48" s="15" t="s">
        <v>58</v>
      </c>
      <c r="K48" s="15">
        <v>2</v>
      </c>
      <c r="L48" s="15">
        <v>1</v>
      </c>
      <c r="M48" s="15">
        <v>2</v>
      </c>
      <c r="N48" s="15"/>
      <c r="O48" s="15">
        <v>1</v>
      </c>
      <c r="P48" s="15">
        <v>1</v>
      </c>
      <c r="Q48" s="15">
        <v>3</v>
      </c>
      <c r="R48" s="15">
        <v>1</v>
      </c>
      <c r="S48" s="15">
        <v>1</v>
      </c>
      <c r="T48" s="15">
        <v>1</v>
      </c>
      <c r="U48" s="15">
        <v>1</v>
      </c>
      <c r="V48" s="15">
        <v>1</v>
      </c>
      <c r="W48" s="15"/>
      <c r="X48" s="15">
        <v>4</v>
      </c>
      <c r="Y48" s="15">
        <v>1</v>
      </c>
      <c r="Z48" s="15">
        <v>0</v>
      </c>
      <c r="AA48" s="15">
        <v>1</v>
      </c>
      <c r="AB48" s="15">
        <v>5</v>
      </c>
      <c r="AC48" s="15">
        <v>2</v>
      </c>
      <c r="AD48" s="15">
        <v>3</v>
      </c>
      <c r="AE48" s="15" t="s">
        <v>60</v>
      </c>
      <c r="AF48" s="16"/>
    </row>
    <row r="49" spans="1:32" x14ac:dyDescent="0.35">
      <c r="A49" s="15" t="s">
        <v>115</v>
      </c>
      <c r="B49" s="15" t="s">
        <v>17</v>
      </c>
      <c r="C49" s="15">
        <v>1</v>
      </c>
      <c r="D49" s="15">
        <v>3</v>
      </c>
      <c r="E49" s="15">
        <v>1</v>
      </c>
      <c r="F49" s="15">
        <v>3</v>
      </c>
      <c r="G49" s="15">
        <v>4</v>
      </c>
      <c r="H49" s="15">
        <v>2</v>
      </c>
      <c r="I49" s="15">
        <v>0</v>
      </c>
      <c r="J49" s="15"/>
      <c r="K49" s="15">
        <v>5</v>
      </c>
      <c r="L49" s="15">
        <v>2</v>
      </c>
      <c r="M49" s="15">
        <v>3</v>
      </c>
      <c r="N49" s="15"/>
      <c r="O49" s="15">
        <v>4</v>
      </c>
      <c r="P49" s="15">
        <v>5</v>
      </c>
      <c r="Q49" s="15">
        <v>3</v>
      </c>
      <c r="R49" s="15">
        <v>2</v>
      </c>
      <c r="S49" s="15">
        <v>3</v>
      </c>
      <c r="T49" s="15">
        <v>3</v>
      </c>
      <c r="U49" s="15">
        <v>2</v>
      </c>
      <c r="V49" s="15">
        <v>1</v>
      </c>
      <c r="W49" s="15"/>
      <c r="X49" s="15">
        <v>2</v>
      </c>
      <c r="Y49" s="15">
        <v>2</v>
      </c>
      <c r="Z49" s="15">
        <v>3</v>
      </c>
      <c r="AA49" s="15">
        <v>2</v>
      </c>
      <c r="AB49" s="15">
        <v>5</v>
      </c>
      <c r="AC49" s="15">
        <v>5</v>
      </c>
      <c r="AD49" s="15">
        <v>5</v>
      </c>
      <c r="AE49" s="15"/>
      <c r="AF49" s="16"/>
    </row>
    <row r="50" spans="1:32" x14ac:dyDescent="0.35">
      <c r="A50" s="13" t="s">
        <v>159</v>
      </c>
      <c r="B50" s="13" t="s">
        <v>17</v>
      </c>
      <c r="C50" s="13">
        <v>1</v>
      </c>
      <c r="D50" s="13">
        <v>3</v>
      </c>
      <c r="E50" s="13">
        <v>1</v>
      </c>
      <c r="F50" s="13">
        <v>1</v>
      </c>
      <c r="G50" s="13">
        <v>2</v>
      </c>
      <c r="H50" s="13">
        <v>2</v>
      </c>
      <c r="I50" s="13">
        <v>0</v>
      </c>
      <c r="J50" s="13"/>
      <c r="K50" s="13">
        <v>2</v>
      </c>
      <c r="L50" s="13">
        <v>1</v>
      </c>
      <c r="M50" s="13">
        <v>2</v>
      </c>
      <c r="N50" s="13"/>
      <c r="O50" s="13">
        <v>4</v>
      </c>
      <c r="P50" s="13">
        <v>2</v>
      </c>
      <c r="Q50" s="13">
        <v>2</v>
      </c>
      <c r="R50" s="13">
        <v>3</v>
      </c>
      <c r="S50" s="13">
        <v>3</v>
      </c>
      <c r="T50" s="13">
        <v>3</v>
      </c>
      <c r="U50" s="13">
        <v>1</v>
      </c>
      <c r="V50" s="13">
        <v>2</v>
      </c>
      <c r="W50" s="13"/>
      <c r="X50" s="13">
        <v>2</v>
      </c>
      <c r="Y50" s="13">
        <v>2</v>
      </c>
      <c r="Z50" s="13">
        <v>3</v>
      </c>
      <c r="AA50" s="13">
        <v>2</v>
      </c>
      <c r="AB50" s="13">
        <v>4</v>
      </c>
      <c r="AC50" s="13">
        <v>3</v>
      </c>
      <c r="AD50" s="13">
        <v>5</v>
      </c>
      <c r="AE50" s="13" t="s">
        <v>160</v>
      </c>
      <c r="AF50" s="14"/>
    </row>
    <row r="51" spans="1:32" x14ac:dyDescent="0.35">
      <c r="A51" s="13" t="s">
        <v>45</v>
      </c>
      <c r="B51" s="13" t="s">
        <v>17</v>
      </c>
      <c r="C51" s="13">
        <v>1</v>
      </c>
      <c r="D51" s="13">
        <v>2</v>
      </c>
      <c r="E51" s="13">
        <v>0</v>
      </c>
      <c r="F51" s="13">
        <v>0</v>
      </c>
      <c r="G51" s="13">
        <v>3</v>
      </c>
      <c r="H51" s="13">
        <v>2</v>
      </c>
      <c r="I51" s="13">
        <v>2</v>
      </c>
      <c r="J51" s="13" t="s">
        <v>37</v>
      </c>
      <c r="K51" s="13">
        <v>3</v>
      </c>
      <c r="L51" s="13">
        <v>3</v>
      </c>
      <c r="M51" s="13">
        <v>3</v>
      </c>
      <c r="N51" s="13" t="s">
        <v>171</v>
      </c>
      <c r="O51" s="13">
        <v>2</v>
      </c>
      <c r="P51" s="13">
        <v>1</v>
      </c>
      <c r="Q51" s="13">
        <v>2</v>
      </c>
      <c r="R51" s="13">
        <v>4</v>
      </c>
      <c r="S51" s="13">
        <v>3</v>
      </c>
      <c r="T51" s="13">
        <v>4</v>
      </c>
      <c r="U51" s="13">
        <v>3</v>
      </c>
      <c r="V51" s="13">
        <v>3</v>
      </c>
      <c r="W51" s="13" t="s">
        <v>171</v>
      </c>
      <c r="X51" s="13">
        <v>4</v>
      </c>
      <c r="Y51" s="13">
        <v>1</v>
      </c>
      <c r="Z51" s="13">
        <v>1</v>
      </c>
      <c r="AA51" s="13">
        <v>1</v>
      </c>
      <c r="AB51" s="13">
        <v>4</v>
      </c>
      <c r="AC51" s="13">
        <v>4</v>
      </c>
      <c r="AD51" s="13">
        <v>4</v>
      </c>
      <c r="AE51" s="13" t="s">
        <v>172</v>
      </c>
      <c r="AF51" s="14"/>
    </row>
    <row r="52" spans="1:32" s="29" customFormat="1" ht="13.15" x14ac:dyDescent="0.4">
      <c r="A52" s="28" t="s">
        <v>295</v>
      </c>
      <c r="D52" s="30">
        <f>AVERAGE(D45:D51)</f>
        <v>2.2857142857142856</v>
      </c>
      <c r="E52" s="30">
        <f t="shared" ref="E52:AE52" si="2">AVERAGE(E45:E51)</f>
        <v>0.7142857142857143</v>
      </c>
      <c r="F52" s="30">
        <f t="shared" si="2"/>
        <v>0.8571428571428571</v>
      </c>
      <c r="G52" s="30">
        <f t="shared" si="2"/>
        <v>1.7142857142857142</v>
      </c>
      <c r="H52" s="30">
        <f t="shared" si="2"/>
        <v>1.1428571428571428</v>
      </c>
      <c r="I52" s="30">
        <f t="shared" si="2"/>
        <v>1</v>
      </c>
      <c r="J52" s="30"/>
      <c r="K52" s="30">
        <f t="shared" si="2"/>
        <v>2.4285714285714284</v>
      </c>
      <c r="L52" s="30">
        <f t="shared" si="2"/>
        <v>1.8571428571428572</v>
      </c>
      <c r="M52" s="30">
        <f t="shared" si="2"/>
        <v>2.2857142857142856</v>
      </c>
      <c r="N52" s="30"/>
      <c r="O52" s="30">
        <f t="shared" si="2"/>
        <v>2.5714285714285716</v>
      </c>
      <c r="P52" s="30">
        <f t="shared" si="2"/>
        <v>1.8571428571428572</v>
      </c>
      <c r="Q52" s="30">
        <f t="shared" si="2"/>
        <v>2.2857142857142856</v>
      </c>
      <c r="R52" s="30">
        <f t="shared" si="2"/>
        <v>2.2857142857142856</v>
      </c>
      <c r="S52" s="30">
        <f t="shared" si="2"/>
        <v>2</v>
      </c>
      <c r="T52" s="30">
        <f t="shared" si="2"/>
        <v>2.4285714285714284</v>
      </c>
      <c r="U52" s="30">
        <f t="shared" si="2"/>
        <v>2</v>
      </c>
      <c r="V52" s="30">
        <f t="shared" si="2"/>
        <v>1.7142857142857142</v>
      </c>
      <c r="W52" s="30"/>
      <c r="X52" s="30">
        <f t="shared" si="2"/>
        <v>2.5714285714285716</v>
      </c>
      <c r="Y52" s="30">
        <f t="shared" si="2"/>
        <v>2</v>
      </c>
      <c r="Z52" s="30">
        <f t="shared" si="2"/>
        <v>1.7142857142857142</v>
      </c>
      <c r="AA52" s="30">
        <f t="shared" si="2"/>
        <v>1.8571428571428572</v>
      </c>
      <c r="AB52" s="30">
        <f t="shared" si="2"/>
        <v>3.7142857142857144</v>
      </c>
      <c r="AC52" s="30">
        <f t="shared" si="2"/>
        <v>3</v>
      </c>
      <c r="AD52" s="30">
        <f t="shared" si="2"/>
        <v>3.7142857142857144</v>
      </c>
      <c r="AE52" s="30">
        <f t="shared" si="2"/>
        <v>7</v>
      </c>
    </row>
    <row r="54" spans="1:32" ht="13.15" x14ac:dyDescent="0.35">
      <c r="A54" s="26" t="s">
        <v>20</v>
      </c>
    </row>
    <row r="55" spans="1:32" ht="51" x14ac:dyDescent="0.35">
      <c r="A55" s="10" t="s">
        <v>343</v>
      </c>
      <c r="B55" s="10" t="s">
        <v>344</v>
      </c>
      <c r="C55" s="10" t="s">
        <v>345</v>
      </c>
      <c r="D55" s="21" t="s">
        <v>346</v>
      </c>
      <c r="E55" s="21" t="s">
        <v>347</v>
      </c>
      <c r="F55" s="21" t="s">
        <v>348</v>
      </c>
      <c r="G55" s="21" t="s">
        <v>349</v>
      </c>
      <c r="H55" s="22" t="s">
        <v>350</v>
      </c>
      <c r="I55" s="22" t="s">
        <v>351</v>
      </c>
      <c r="J55" s="10" t="s">
        <v>352</v>
      </c>
      <c r="K55" s="22" t="s">
        <v>37</v>
      </c>
      <c r="L55" s="22" t="s">
        <v>290</v>
      </c>
      <c r="M55" s="22" t="s">
        <v>291</v>
      </c>
      <c r="N55" s="10" t="s">
        <v>5</v>
      </c>
      <c r="O55" s="21" t="s">
        <v>294</v>
      </c>
      <c r="P55" s="21" t="s">
        <v>292</v>
      </c>
      <c r="Q55" s="21" t="s">
        <v>293</v>
      </c>
      <c r="R55" s="21" t="s">
        <v>47</v>
      </c>
      <c r="S55" s="22" t="s">
        <v>288</v>
      </c>
      <c r="T55" s="22" t="s">
        <v>37</v>
      </c>
      <c r="U55" s="22" t="s">
        <v>290</v>
      </c>
      <c r="V55" s="22" t="s">
        <v>291</v>
      </c>
      <c r="W55" s="10" t="s">
        <v>6</v>
      </c>
      <c r="X55" s="11" t="s">
        <v>7</v>
      </c>
      <c r="Y55" s="10" t="s">
        <v>8</v>
      </c>
      <c r="Z55" s="10" t="s">
        <v>9</v>
      </c>
      <c r="AA55" s="10" t="s">
        <v>10</v>
      </c>
      <c r="AB55" s="10" t="s">
        <v>11</v>
      </c>
      <c r="AC55" s="10" t="s">
        <v>12</v>
      </c>
      <c r="AD55" s="10" t="s">
        <v>13</v>
      </c>
      <c r="AE55" s="11" t="s">
        <v>14</v>
      </c>
      <c r="AF55" s="12" t="s">
        <v>15</v>
      </c>
    </row>
    <row r="56" spans="1:32" x14ac:dyDescent="0.35">
      <c r="A56" s="15" t="s">
        <v>19</v>
      </c>
      <c r="B56" s="15" t="s">
        <v>20</v>
      </c>
      <c r="C56" s="15">
        <v>1</v>
      </c>
      <c r="D56" s="15">
        <v>4</v>
      </c>
      <c r="E56" s="15">
        <v>2</v>
      </c>
      <c r="F56" s="15">
        <v>1</v>
      </c>
      <c r="G56" s="15">
        <v>2</v>
      </c>
      <c r="H56" s="15">
        <v>0</v>
      </c>
      <c r="I56" s="15">
        <v>0</v>
      </c>
      <c r="J56" s="15"/>
      <c r="K56" s="15">
        <v>4</v>
      </c>
      <c r="L56" s="15">
        <v>1</v>
      </c>
      <c r="M56" s="15">
        <v>1</v>
      </c>
      <c r="N56" s="15"/>
      <c r="O56" s="15">
        <v>1</v>
      </c>
      <c r="P56" s="15">
        <v>1</v>
      </c>
      <c r="Q56" s="15">
        <v>1</v>
      </c>
      <c r="R56" s="15">
        <v>3</v>
      </c>
      <c r="S56" s="15">
        <v>2</v>
      </c>
      <c r="T56" s="15">
        <v>4</v>
      </c>
      <c r="U56" s="15">
        <v>1</v>
      </c>
      <c r="V56" s="15">
        <v>2</v>
      </c>
      <c r="W56" s="15"/>
      <c r="X56" s="15">
        <v>1</v>
      </c>
      <c r="Y56" s="15">
        <v>4</v>
      </c>
      <c r="Z56" s="15">
        <v>1</v>
      </c>
      <c r="AA56" s="15">
        <v>2</v>
      </c>
      <c r="AB56" s="15">
        <v>5</v>
      </c>
      <c r="AC56" s="15">
        <v>3</v>
      </c>
      <c r="AD56" s="15">
        <v>3</v>
      </c>
      <c r="AE56" s="15"/>
      <c r="AF56" s="16" t="s">
        <v>22</v>
      </c>
    </row>
    <row r="57" spans="1:32" x14ac:dyDescent="0.35">
      <c r="A57" s="13" t="s">
        <v>23</v>
      </c>
      <c r="B57" s="13" t="s">
        <v>20</v>
      </c>
      <c r="C57" s="13">
        <v>1</v>
      </c>
      <c r="D57" s="13">
        <v>3</v>
      </c>
      <c r="E57" s="13">
        <v>1</v>
      </c>
      <c r="F57" s="13">
        <v>0</v>
      </c>
      <c r="G57" s="13">
        <v>2</v>
      </c>
      <c r="H57" s="13">
        <v>1</v>
      </c>
      <c r="I57" s="13">
        <v>0</v>
      </c>
      <c r="J57" s="13"/>
      <c r="K57" s="13">
        <v>3</v>
      </c>
      <c r="L57" s="13">
        <v>2</v>
      </c>
      <c r="M57" s="13">
        <v>3</v>
      </c>
      <c r="N57" s="13"/>
      <c r="O57" s="13">
        <v>2</v>
      </c>
      <c r="P57" s="13">
        <v>3</v>
      </c>
      <c r="Q57" s="13">
        <v>1</v>
      </c>
      <c r="R57" s="13">
        <v>3</v>
      </c>
      <c r="S57" s="13">
        <v>3</v>
      </c>
      <c r="T57" s="13">
        <v>3</v>
      </c>
      <c r="U57" s="13">
        <v>4</v>
      </c>
      <c r="V57" s="13">
        <v>2</v>
      </c>
      <c r="W57" s="13"/>
      <c r="X57" s="13">
        <v>3</v>
      </c>
      <c r="Y57" s="13">
        <v>2</v>
      </c>
      <c r="Z57" s="13">
        <v>3</v>
      </c>
      <c r="AA57" s="13">
        <v>1</v>
      </c>
      <c r="AB57" s="13">
        <v>3</v>
      </c>
      <c r="AC57" s="13">
        <v>3</v>
      </c>
      <c r="AD57" s="13">
        <v>4</v>
      </c>
      <c r="AE57" s="13">
        <v>6.8</v>
      </c>
      <c r="AF57" s="14"/>
    </row>
    <row r="58" spans="1:32" x14ac:dyDescent="0.35">
      <c r="A58" s="15" t="s">
        <v>24</v>
      </c>
      <c r="B58" s="15" t="s">
        <v>20</v>
      </c>
      <c r="C58" s="15">
        <v>1</v>
      </c>
      <c r="D58" s="15">
        <v>2</v>
      </c>
      <c r="E58" s="15">
        <v>0</v>
      </c>
      <c r="F58" s="15">
        <v>3</v>
      </c>
      <c r="G58" s="15">
        <v>1</v>
      </c>
      <c r="H58" s="15">
        <v>1</v>
      </c>
      <c r="I58" s="15">
        <v>2</v>
      </c>
      <c r="J58" s="15" t="s">
        <v>25</v>
      </c>
      <c r="K58" s="15">
        <v>3</v>
      </c>
      <c r="L58" s="15">
        <v>2</v>
      </c>
      <c r="M58" s="15">
        <v>2</v>
      </c>
      <c r="N58" s="15"/>
      <c r="O58" s="15">
        <v>2</v>
      </c>
      <c r="P58" s="15">
        <v>4</v>
      </c>
      <c r="Q58" s="15">
        <v>2</v>
      </c>
      <c r="R58" s="15">
        <v>2</v>
      </c>
      <c r="S58" s="15">
        <v>1</v>
      </c>
      <c r="T58" s="15">
        <v>3</v>
      </c>
      <c r="U58" s="15">
        <v>2</v>
      </c>
      <c r="V58" s="15">
        <v>1</v>
      </c>
      <c r="W58" s="15"/>
      <c r="X58" s="15">
        <v>2</v>
      </c>
      <c r="Y58" s="15">
        <v>4</v>
      </c>
      <c r="Z58" s="15">
        <v>2</v>
      </c>
      <c r="AA58" s="15">
        <v>1</v>
      </c>
      <c r="AB58" s="15">
        <v>4</v>
      </c>
      <c r="AC58" s="15">
        <v>2</v>
      </c>
      <c r="AD58" s="15">
        <v>3</v>
      </c>
      <c r="AE58" s="15" t="s">
        <v>26</v>
      </c>
      <c r="AF58" s="16"/>
    </row>
    <row r="59" spans="1:32" x14ac:dyDescent="0.35">
      <c r="A59" s="13" t="s">
        <v>27</v>
      </c>
      <c r="B59" s="13" t="s">
        <v>20</v>
      </c>
      <c r="C59" s="13">
        <v>1</v>
      </c>
      <c r="D59" s="13">
        <v>1</v>
      </c>
      <c r="E59" s="13">
        <v>1</v>
      </c>
      <c r="F59" s="13">
        <v>0</v>
      </c>
      <c r="G59" s="13">
        <v>1</v>
      </c>
      <c r="H59" s="13">
        <v>0</v>
      </c>
      <c r="I59" s="13">
        <v>0</v>
      </c>
      <c r="J59" s="13"/>
      <c r="K59" s="13">
        <v>4</v>
      </c>
      <c r="L59" s="13">
        <v>3</v>
      </c>
      <c r="M59" s="13">
        <v>1</v>
      </c>
      <c r="N59" s="13"/>
      <c r="O59" s="13">
        <v>1</v>
      </c>
      <c r="P59" s="13">
        <v>2</v>
      </c>
      <c r="Q59" s="13">
        <v>1</v>
      </c>
      <c r="R59" s="13">
        <v>1</v>
      </c>
      <c r="S59" s="13">
        <v>1</v>
      </c>
      <c r="T59" s="13">
        <v>4</v>
      </c>
      <c r="U59" s="13">
        <v>3</v>
      </c>
      <c r="V59" s="13">
        <v>1</v>
      </c>
      <c r="W59" s="13"/>
      <c r="X59" s="13">
        <v>2</v>
      </c>
      <c r="Y59" s="13">
        <v>2</v>
      </c>
      <c r="Z59" s="13">
        <v>0</v>
      </c>
      <c r="AA59" s="13">
        <v>1</v>
      </c>
      <c r="AB59" s="13">
        <v>4</v>
      </c>
      <c r="AC59" s="13">
        <v>3</v>
      </c>
      <c r="AD59" s="13">
        <v>3</v>
      </c>
      <c r="AE59" s="13"/>
      <c r="AF59" s="14"/>
    </row>
    <row r="60" spans="1:32" x14ac:dyDescent="0.35">
      <c r="A60" s="17" t="s">
        <v>29</v>
      </c>
      <c r="B60" s="17" t="s">
        <v>20</v>
      </c>
      <c r="C60" s="17">
        <v>1</v>
      </c>
      <c r="D60" s="17">
        <v>3</v>
      </c>
      <c r="E60" s="17">
        <v>1</v>
      </c>
      <c r="F60" s="17">
        <v>1</v>
      </c>
      <c r="G60" s="17">
        <v>2</v>
      </c>
      <c r="H60" s="17">
        <v>3</v>
      </c>
      <c r="I60" s="17">
        <v>0</v>
      </c>
      <c r="J60" s="17"/>
      <c r="K60" s="17">
        <v>2</v>
      </c>
      <c r="L60" s="17">
        <v>3</v>
      </c>
      <c r="M60" s="17">
        <v>1</v>
      </c>
      <c r="N60" s="17"/>
      <c r="O60" s="17">
        <v>2</v>
      </c>
      <c r="P60" s="17">
        <v>3</v>
      </c>
      <c r="Q60" s="17">
        <v>2</v>
      </c>
      <c r="R60" s="17">
        <v>1</v>
      </c>
      <c r="S60" s="17">
        <v>1</v>
      </c>
      <c r="T60" s="17">
        <v>1</v>
      </c>
      <c r="U60" s="17">
        <v>1</v>
      </c>
      <c r="V60" s="17">
        <v>1</v>
      </c>
      <c r="W60" s="17"/>
      <c r="X60" s="17">
        <v>2</v>
      </c>
      <c r="Y60" s="17">
        <v>2</v>
      </c>
      <c r="Z60" s="17">
        <v>1</v>
      </c>
      <c r="AA60" s="17">
        <v>3</v>
      </c>
      <c r="AB60" s="17">
        <v>3</v>
      </c>
      <c r="AC60" s="17">
        <v>3</v>
      </c>
      <c r="AD60" s="17">
        <v>5</v>
      </c>
      <c r="AE60" s="17"/>
      <c r="AF60" s="18"/>
    </row>
    <row r="61" spans="1:32" x14ac:dyDescent="0.35">
      <c r="A61" s="13" t="s">
        <v>33</v>
      </c>
      <c r="B61" s="13" t="s">
        <v>20</v>
      </c>
      <c r="C61" s="13">
        <v>1</v>
      </c>
      <c r="D61" s="13">
        <v>1</v>
      </c>
      <c r="E61" s="13">
        <v>4</v>
      </c>
      <c r="F61" s="13">
        <v>0</v>
      </c>
      <c r="G61" s="13">
        <v>2</v>
      </c>
      <c r="H61" s="13">
        <v>1</v>
      </c>
      <c r="I61" s="13">
        <v>0</v>
      </c>
      <c r="J61" s="13"/>
      <c r="K61" s="13">
        <v>5</v>
      </c>
      <c r="L61" s="13">
        <v>2</v>
      </c>
      <c r="M61" s="13">
        <v>1</v>
      </c>
      <c r="N61" s="13"/>
      <c r="O61" s="13">
        <v>1</v>
      </c>
      <c r="P61" s="13">
        <v>4</v>
      </c>
      <c r="Q61" s="13">
        <v>2</v>
      </c>
      <c r="R61" s="13">
        <v>2</v>
      </c>
      <c r="S61" s="13">
        <v>3</v>
      </c>
      <c r="T61" s="13">
        <v>5</v>
      </c>
      <c r="U61" s="13">
        <v>1</v>
      </c>
      <c r="V61" s="13">
        <v>1</v>
      </c>
      <c r="W61" s="13"/>
      <c r="X61" s="13">
        <v>5</v>
      </c>
      <c r="Y61" s="13">
        <v>2</v>
      </c>
      <c r="Z61" s="13">
        <v>0</v>
      </c>
      <c r="AA61" s="13">
        <v>1</v>
      </c>
      <c r="AB61" s="13">
        <v>5</v>
      </c>
      <c r="AC61" s="13">
        <v>4</v>
      </c>
      <c r="AD61" s="13">
        <v>4</v>
      </c>
      <c r="AE61" s="13"/>
      <c r="AF61" s="14" t="s">
        <v>35</v>
      </c>
    </row>
    <row r="62" spans="1:32" x14ac:dyDescent="0.35">
      <c r="A62" s="19" t="s">
        <v>39</v>
      </c>
      <c r="B62" s="19" t="s">
        <v>20</v>
      </c>
      <c r="C62" s="19">
        <v>1</v>
      </c>
      <c r="D62" s="19">
        <v>2</v>
      </c>
      <c r="E62" s="19">
        <v>1</v>
      </c>
      <c r="F62" s="19">
        <v>2</v>
      </c>
      <c r="G62" s="19">
        <v>3</v>
      </c>
      <c r="H62" s="19">
        <v>1</v>
      </c>
      <c r="I62" s="19">
        <v>0</v>
      </c>
      <c r="J62" s="19" t="s">
        <v>40</v>
      </c>
      <c r="K62" s="19">
        <v>1</v>
      </c>
      <c r="L62" s="19">
        <v>3</v>
      </c>
      <c r="M62" s="19">
        <v>2</v>
      </c>
      <c r="N62" s="19"/>
      <c r="O62" s="19">
        <v>2</v>
      </c>
      <c r="P62" s="19">
        <v>2</v>
      </c>
      <c r="Q62" s="19">
        <v>2</v>
      </c>
      <c r="R62" s="19">
        <v>3</v>
      </c>
      <c r="S62" s="19">
        <v>2</v>
      </c>
      <c r="T62" s="19">
        <v>3</v>
      </c>
      <c r="U62" s="19">
        <v>3</v>
      </c>
      <c r="V62" s="19">
        <v>2</v>
      </c>
      <c r="W62" s="19" t="s">
        <v>41</v>
      </c>
      <c r="X62" s="19">
        <v>3</v>
      </c>
      <c r="Y62" s="19">
        <v>2</v>
      </c>
      <c r="Z62" s="19">
        <v>2</v>
      </c>
      <c r="AA62" s="19">
        <v>2</v>
      </c>
      <c r="AB62" s="19">
        <v>1</v>
      </c>
      <c r="AC62" s="19">
        <v>3</v>
      </c>
      <c r="AD62" s="19">
        <v>2</v>
      </c>
      <c r="AE62" s="19"/>
      <c r="AF62" s="20"/>
    </row>
    <row r="63" spans="1:32" x14ac:dyDescent="0.35">
      <c r="A63" s="17" t="s">
        <v>42</v>
      </c>
      <c r="B63" s="17" t="s">
        <v>20</v>
      </c>
      <c r="C63" s="17">
        <v>1</v>
      </c>
      <c r="D63" s="17">
        <v>4</v>
      </c>
      <c r="E63" s="17">
        <v>2</v>
      </c>
      <c r="F63" s="17">
        <v>0</v>
      </c>
      <c r="G63" s="17">
        <v>2</v>
      </c>
      <c r="H63" s="17">
        <v>1</v>
      </c>
      <c r="I63" s="17">
        <v>0</v>
      </c>
      <c r="J63" s="17"/>
      <c r="K63" s="17">
        <v>1</v>
      </c>
      <c r="L63" s="17">
        <v>1</v>
      </c>
      <c r="M63" s="17">
        <v>3</v>
      </c>
      <c r="N63" s="17"/>
      <c r="O63" s="17">
        <v>2</v>
      </c>
      <c r="P63" s="17">
        <v>3</v>
      </c>
      <c r="Q63" s="17">
        <v>2</v>
      </c>
      <c r="R63" s="17">
        <v>1</v>
      </c>
      <c r="S63" s="17">
        <v>2</v>
      </c>
      <c r="T63" s="17">
        <v>1</v>
      </c>
      <c r="U63" s="17">
        <v>1</v>
      </c>
      <c r="V63" s="17">
        <v>2</v>
      </c>
      <c r="W63" s="17" t="s">
        <v>43</v>
      </c>
      <c r="X63" s="17">
        <v>3</v>
      </c>
      <c r="Y63" s="17">
        <v>3</v>
      </c>
      <c r="Z63" s="17">
        <v>1</v>
      </c>
      <c r="AA63" s="17">
        <v>2</v>
      </c>
      <c r="AB63" s="17">
        <v>5</v>
      </c>
      <c r="AC63" s="17">
        <v>4</v>
      </c>
      <c r="AD63" s="17">
        <v>2</v>
      </c>
      <c r="AE63" s="17"/>
      <c r="AF63" s="18"/>
    </row>
    <row r="64" spans="1:32" x14ac:dyDescent="0.35">
      <c r="A64" s="19" t="s">
        <v>44</v>
      </c>
      <c r="B64" s="19" t="s">
        <v>20</v>
      </c>
      <c r="C64" s="19">
        <v>1</v>
      </c>
      <c r="D64" s="19">
        <v>2</v>
      </c>
      <c r="E64" s="19">
        <v>1</v>
      </c>
      <c r="F64" s="19">
        <v>1</v>
      </c>
      <c r="G64" s="19">
        <v>0</v>
      </c>
      <c r="H64" s="19">
        <v>1</v>
      </c>
      <c r="I64" s="19">
        <v>0</v>
      </c>
      <c r="J64" s="19"/>
      <c r="K64" s="19">
        <v>2</v>
      </c>
      <c r="L64" s="19">
        <v>1</v>
      </c>
      <c r="M64" s="19">
        <v>2</v>
      </c>
      <c r="N64" s="19"/>
      <c r="O64" s="19">
        <v>3</v>
      </c>
      <c r="P64" s="19">
        <v>3</v>
      </c>
      <c r="Q64" s="19">
        <v>2</v>
      </c>
      <c r="R64" s="19">
        <v>2</v>
      </c>
      <c r="S64" s="19">
        <v>2</v>
      </c>
      <c r="T64" s="19">
        <v>2</v>
      </c>
      <c r="U64" s="19">
        <v>2</v>
      </c>
      <c r="V64" s="19">
        <v>1</v>
      </c>
      <c r="W64" s="19"/>
      <c r="X64" s="19">
        <v>3</v>
      </c>
      <c r="Y64" s="19">
        <v>0</v>
      </c>
      <c r="Z64" s="19">
        <v>1</v>
      </c>
      <c r="AA64" s="19">
        <v>0</v>
      </c>
      <c r="AB64" s="19">
        <v>2</v>
      </c>
      <c r="AC64" s="19">
        <v>2</v>
      </c>
      <c r="AD64" s="19">
        <v>3</v>
      </c>
      <c r="AE64" s="19"/>
      <c r="AF64" s="20"/>
    </row>
    <row r="65" spans="1:32" x14ac:dyDescent="0.35">
      <c r="A65" s="13" t="s">
        <v>52</v>
      </c>
      <c r="B65" s="13" t="s">
        <v>20</v>
      </c>
      <c r="C65" s="13">
        <v>1</v>
      </c>
      <c r="D65" s="13">
        <v>3</v>
      </c>
      <c r="E65" s="13">
        <v>0</v>
      </c>
      <c r="F65" s="13">
        <v>1</v>
      </c>
      <c r="G65" s="13">
        <v>2</v>
      </c>
      <c r="H65" s="13">
        <v>0</v>
      </c>
      <c r="I65" s="13">
        <v>0</v>
      </c>
      <c r="J65" s="13" t="s">
        <v>53</v>
      </c>
      <c r="K65" s="13">
        <v>1</v>
      </c>
      <c r="L65" s="13">
        <v>1</v>
      </c>
      <c r="M65" s="13">
        <v>3</v>
      </c>
      <c r="N65" s="13"/>
      <c r="O65" s="13">
        <v>2</v>
      </c>
      <c r="P65" s="13">
        <v>1</v>
      </c>
      <c r="Q65" s="13">
        <v>2</v>
      </c>
      <c r="R65" s="13">
        <v>1</v>
      </c>
      <c r="S65" s="13">
        <v>1</v>
      </c>
      <c r="T65" s="13">
        <v>1</v>
      </c>
      <c r="U65" s="13">
        <v>2</v>
      </c>
      <c r="V65" s="13">
        <v>2</v>
      </c>
      <c r="W65" s="13"/>
      <c r="X65" s="13">
        <v>2</v>
      </c>
      <c r="Y65" s="13">
        <v>2</v>
      </c>
      <c r="Z65" s="13">
        <v>1</v>
      </c>
      <c r="AA65" s="13">
        <v>0</v>
      </c>
      <c r="AB65" s="13">
        <v>3</v>
      </c>
      <c r="AC65" s="13">
        <v>3</v>
      </c>
      <c r="AD65" s="13">
        <v>3</v>
      </c>
      <c r="AE65" s="13" t="s">
        <v>54</v>
      </c>
      <c r="AF65" s="14"/>
    </row>
    <row r="66" spans="1:32" x14ac:dyDescent="0.35">
      <c r="A66" s="13" t="s">
        <v>63</v>
      </c>
      <c r="B66" s="13" t="s">
        <v>20</v>
      </c>
      <c r="C66" s="13">
        <v>1</v>
      </c>
      <c r="D66" s="13">
        <v>2</v>
      </c>
      <c r="E66" s="13">
        <v>3</v>
      </c>
      <c r="F66" s="13">
        <v>1</v>
      </c>
      <c r="G66" s="13">
        <v>3</v>
      </c>
      <c r="H66" s="13">
        <v>3</v>
      </c>
      <c r="I66" s="13">
        <v>3</v>
      </c>
      <c r="J66" s="13" t="s">
        <v>64</v>
      </c>
      <c r="K66" s="13">
        <v>4</v>
      </c>
      <c r="L66" s="13">
        <v>3</v>
      </c>
      <c r="M66" s="13">
        <v>1</v>
      </c>
      <c r="N66" s="13"/>
      <c r="O66" s="13">
        <v>2</v>
      </c>
      <c r="P66" s="13">
        <v>1</v>
      </c>
      <c r="Q66" s="13">
        <v>3</v>
      </c>
      <c r="R66" s="13">
        <v>4</v>
      </c>
      <c r="S66" s="13">
        <v>2</v>
      </c>
      <c r="T66" s="13">
        <v>4</v>
      </c>
      <c r="U66" s="13">
        <v>2</v>
      </c>
      <c r="V66" s="13">
        <v>1</v>
      </c>
      <c r="W66" s="13"/>
      <c r="X66" s="13">
        <v>2</v>
      </c>
      <c r="Y66" s="13">
        <v>5</v>
      </c>
      <c r="Z66" s="13">
        <v>3</v>
      </c>
      <c r="AA66" s="13">
        <v>4</v>
      </c>
      <c r="AB66" s="13">
        <v>4</v>
      </c>
      <c r="AC66" s="13">
        <v>3</v>
      </c>
      <c r="AD66" s="13">
        <v>4</v>
      </c>
      <c r="AE66" s="13" t="s">
        <v>65</v>
      </c>
      <c r="AF66" s="14"/>
    </row>
    <row r="67" spans="1:32" x14ac:dyDescent="0.35">
      <c r="A67" s="15" t="s">
        <v>71</v>
      </c>
      <c r="B67" s="15" t="s">
        <v>20</v>
      </c>
      <c r="C67" s="15">
        <v>1</v>
      </c>
      <c r="D67" s="15">
        <v>2</v>
      </c>
      <c r="E67" s="15">
        <v>0</v>
      </c>
      <c r="F67" s="15">
        <v>1</v>
      </c>
      <c r="G67" s="15">
        <v>2</v>
      </c>
      <c r="H67" s="15">
        <v>1</v>
      </c>
      <c r="I67" s="15">
        <v>0</v>
      </c>
      <c r="J67" s="15" t="s">
        <v>72</v>
      </c>
      <c r="K67" s="15">
        <v>2</v>
      </c>
      <c r="L67" s="15">
        <v>3</v>
      </c>
      <c r="M67" s="15">
        <v>4</v>
      </c>
      <c r="N67" s="15"/>
      <c r="O67" s="15">
        <v>3</v>
      </c>
      <c r="P67" s="15">
        <v>4</v>
      </c>
      <c r="Q67" s="15">
        <v>3</v>
      </c>
      <c r="R67" s="15">
        <v>3</v>
      </c>
      <c r="S67" s="15">
        <v>2</v>
      </c>
      <c r="T67" s="15">
        <v>3</v>
      </c>
      <c r="U67" s="15">
        <v>2</v>
      </c>
      <c r="V67" s="15">
        <v>4</v>
      </c>
      <c r="W67" s="15"/>
      <c r="X67" s="15">
        <v>3</v>
      </c>
      <c r="Y67" s="15">
        <v>4</v>
      </c>
      <c r="Z67" s="15">
        <v>3</v>
      </c>
      <c r="AA67" s="15">
        <v>3</v>
      </c>
      <c r="AB67" s="15">
        <v>3</v>
      </c>
      <c r="AC67" s="15">
        <v>2</v>
      </c>
      <c r="AD67" s="15">
        <v>3</v>
      </c>
      <c r="AE67" s="15" t="s">
        <v>73</v>
      </c>
      <c r="AF67" s="16"/>
    </row>
    <row r="68" spans="1:32" x14ac:dyDescent="0.35">
      <c r="A68" s="17" t="s">
        <v>81</v>
      </c>
      <c r="B68" s="17" t="s">
        <v>20</v>
      </c>
      <c r="C68" s="17">
        <v>1</v>
      </c>
      <c r="D68" s="17">
        <v>3</v>
      </c>
      <c r="E68" s="17">
        <v>1</v>
      </c>
      <c r="F68" s="17">
        <v>0</v>
      </c>
      <c r="G68" s="17">
        <v>0</v>
      </c>
      <c r="H68" s="17">
        <v>0</v>
      </c>
      <c r="I68" s="17">
        <v>0</v>
      </c>
      <c r="J68" s="17"/>
      <c r="K68" s="17">
        <v>1</v>
      </c>
      <c r="L68" s="17">
        <v>2</v>
      </c>
      <c r="M68" s="17">
        <v>1</v>
      </c>
      <c r="N68" s="17"/>
      <c r="O68" s="17">
        <v>3</v>
      </c>
      <c r="P68" s="17">
        <v>2</v>
      </c>
      <c r="Q68" s="17">
        <v>1</v>
      </c>
      <c r="R68" s="17">
        <v>1</v>
      </c>
      <c r="S68" s="17">
        <v>1</v>
      </c>
      <c r="T68" s="17">
        <v>1</v>
      </c>
      <c r="U68" s="17">
        <v>2</v>
      </c>
      <c r="V68" s="17">
        <v>1</v>
      </c>
      <c r="W68" s="17"/>
      <c r="X68" s="17">
        <v>2</v>
      </c>
      <c r="Y68" s="17">
        <v>2</v>
      </c>
      <c r="Z68" s="17">
        <v>1</v>
      </c>
      <c r="AA68" s="17">
        <v>1</v>
      </c>
      <c r="AB68" s="17">
        <v>3</v>
      </c>
      <c r="AC68" s="17">
        <v>2</v>
      </c>
      <c r="AD68" s="17">
        <v>3</v>
      </c>
      <c r="AE68" s="17"/>
      <c r="AF68" s="18"/>
    </row>
    <row r="69" spans="1:32" x14ac:dyDescent="0.35">
      <c r="A69" s="13" t="s">
        <v>82</v>
      </c>
      <c r="B69" s="13" t="s">
        <v>20</v>
      </c>
      <c r="C69" s="13">
        <v>1</v>
      </c>
      <c r="D69" s="13">
        <v>3</v>
      </c>
      <c r="E69" s="13">
        <v>2</v>
      </c>
      <c r="F69" s="13">
        <v>2</v>
      </c>
      <c r="G69" s="13">
        <v>3</v>
      </c>
      <c r="H69" s="13">
        <v>2</v>
      </c>
      <c r="I69" s="13">
        <v>2</v>
      </c>
      <c r="J69" s="13" t="s">
        <v>64</v>
      </c>
      <c r="K69" s="13">
        <v>4</v>
      </c>
      <c r="L69" s="13">
        <v>3</v>
      </c>
      <c r="M69" s="13">
        <v>4</v>
      </c>
      <c r="N69" s="13"/>
      <c r="O69" s="13">
        <v>2</v>
      </c>
      <c r="P69" s="13">
        <v>3</v>
      </c>
      <c r="Q69" s="13">
        <v>2</v>
      </c>
      <c r="R69" s="13">
        <v>3</v>
      </c>
      <c r="S69" s="13">
        <v>2</v>
      </c>
      <c r="T69" s="13">
        <v>4</v>
      </c>
      <c r="U69" s="13">
        <v>4</v>
      </c>
      <c r="V69" s="13">
        <v>2</v>
      </c>
      <c r="W69" s="13" t="s">
        <v>83</v>
      </c>
      <c r="X69" s="13">
        <v>2</v>
      </c>
      <c r="Y69" s="13">
        <v>1</v>
      </c>
      <c r="Z69" s="13">
        <v>2</v>
      </c>
      <c r="AA69" s="13">
        <v>1</v>
      </c>
      <c r="AB69" s="13">
        <v>3</v>
      </c>
      <c r="AC69" s="13">
        <v>3</v>
      </c>
      <c r="AD69" s="13">
        <v>3</v>
      </c>
      <c r="AE69" s="13" t="s">
        <v>84</v>
      </c>
      <c r="AF69" s="14"/>
    </row>
    <row r="70" spans="1:32" x14ac:dyDescent="0.35">
      <c r="A70" s="15" t="s">
        <v>85</v>
      </c>
      <c r="B70" s="15" t="s">
        <v>20</v>
      </c>
      <c r="C70" s="15">
        <v>1</v>
      </c>
      <c r="D70" s="15">
        <v>1</v>
      </c>
      <c r="E70" s="15">
        <v>2</v>
      </c>
      <c r="F70" s="15">
        <v>1</v>
      </c>
      <c r="G70" s="15">
        <v>1</v>
      </c>
      <c r="H70" s="15">
        <v>2</v>
      </c>
      <c r="I70" s="15">
        <v>1</v>
      </c>
      <c r="J70" s="15" t="s">
        <v>86</v>
      </c>
      <c r="K70" s="15">
        <v>2</v>
      </c>
      <c r="L70" s="15">
        <v>3</v>
      </c>
      <c r="M70" s="15">
        <v>1</v>
      </c>
      <c r="N70" s="15" t="s">
        <v>87</v>
      </c>
      <c r="O70" s="15">
        <v>1</v>
      </c>
      <c r="P70" s="15">
        <v>3</v>
      </c>
      <c r="Q70" s="15">
        <v>1</v>
      </c>
      <c r="R70" s="15">
        <v>1</v>
      </c>
      <c r="S70" s="15">
        <v>1</v>
      </c>
      <c r="T70" s="15">
        <v>2</v>
      </c>
      <c r="U70" s="15">
        <v>3</v>
      </c>
      <c r="V70" s="15">
        <v>1</v>
      </c>
      <c r="W70" s="15" t="s">
        <v>88</v>
      </c>
      <c r="X70" s="15">
        <v>3</v>
      </c>
      <c r="Y70" s="15">
        <v>1</v>
      </c>
      <c r="Z70" s="15">
        <v>1</v>
      </c>
      <c r="AA70" s="15">
        <v>2</v>
      </c>
      <c r="AB70" s="15">
        <v>4</v>
      </c>
      <c r="AC70" s="15">
        <v>2</v>
      </c>
      <c r="AD70" s="15">
        <v>3</v>
      </c>
      <c r="AE70" s="15" t="s">
        <v>89</v>
      </c>
      <c r="AF70" s="16"/>
    </row>
    <row r="71" spans="1:32" x14ac:dyDescent="0.35">
      <c r="A71" s="13" t="s">
        <v>90</v>
      </c>
      <c r="B71" s="13" t="s">
        <v>20</v>
      </c>
      <c r="C71" s="13">
        <v>1</v>
      </c>
      <c r="D71" s="13">
        <v>3</v>
      </c>
      <c r="E71" s="13">
        <v>0</v>
      </c>
      <c r="F71" s="13">
        <v>2</v>
      </c>
      <c r="G71" s="13">
        <v>3</v>
      </c>
      <c r="H71" s="13">
        <v>0</v>
      </c>
      <c r="I71" s="13">
        <v>0</v>
      </c>
      <c r="J71" s="13"/>
      <c r="K71" s="13">
        <v>3</v>
      </c>
      <c r="L71" s="13">
        <v>1</v>
      </c>
      <c r="M71" s="13">
        <v>1</v>
      </c>
      <c r="N71" s="13"/>
      <c r="O71" s="13">
        <v>3</v>
      </c>
      <c r="P71" s="13">
        <v>1</v>
      </c>
      <c r="Q71" s="13">
        <v>1</v>
      </c>
      <c r="R71" s="13">
        <v>3</v>
      </c>
      <c r="S71" s="13">
        <v>1</v>
      </c>
      <c r="T71" s="13">
        <v>3</v>
      </c>
      <c r="U71" s="13">
        <v>1</v>
      </c>
      <c r="V71" s="13">
        <v>1</v>
      </c>
      <c r="W71" s="13"/>
      <c r="X71" s="13">
        <v>2</v>
      </c>
      <c r="Y71" s="13">
        <v>3</v>
      </c>
      <c r="Z71" s="13">
        <v>2</v>
      </c>
      <c r="AA71" s="13">
        <v>2</v>
      </c>
      <c r="AB71" s="13">
        <v>3</v>
      </c>
      <c r="AC71" s="13">
        <v>3</v>
      </c>
      <c r="AD71" s="13">
        <v>3</v>
      </c>
      <c r="AE71" s="13"/>
      <c r="AF71" s="14"/>
    </row>
    <row r="72" spans="1:32" x14ac:dyDescent="0.35">
      <c r="A72" s="17" t="s">
        <v>28</v>
      </c>
      <c r="B72" s="17" t="s">
        <v>20</v>
      </c>
      <c r="C72" s="17">
        <v>1</v>
      </c>
      <c r="D72" s="17">
        <v>1</v>
      </c>
      <c r="E72" s="17">
        <v>4</v>
      </c>
      <c r="F72" s="17">
        <v>4</v>
      </c>
      <c r="G72" s="17">
        <v>1</v>
      </c>
      <c r="H72" s="17">
        <v>0</v>
      </c>
      <c r="I72" s="17">
        <v>0</v>
      </c>
      <c r="J72" s="17"/>
      <c r="K72" s="17">
        <v>1</v>
      </c>
      <c r="L72" s="17">
        <v>1</v>
      </c>
      <c r="M72" s="17">
        <v>5</v>
      </c>
      <c r="N72" s="17"/>
      <c r="O72" s="17">
        <v>4</v>
      </c>
      <c r="P72" s="17">
        <v>4</v>
      </c>
      <c r="Q72" s="17">
        <v>4</v>
      </c>
      <c r="R72" s="17">
        <v>3</v>
      </c>
      <c r="S72" s="17">
        <v>1</v>
      </c>
      <c r="T72" s="17">
        <v>3</v>
      </c>
      <c r="U72" s="17">
        <v>1</v>
      </c>
      <c r="V72" s="17">
        <v>1</v>
      </c>
      <c r="W72" s="17" t="s">
        <v>97</v>
      </c>
      <c r="X72" s="17">
        <v>1</v>
      </c>
      <c r="Y72" s="17">
        <v>5</v>
      </c>
      <c r="Z72" s="17">
        <v>2</v>
      </c>
      <c r="AA72" s="17">
        <v>4</v>
      </c>
      <c r="AB72" s="17">
        <v>3</v>
      </c>
      <c r="AC72" s="17">
        <v>1</v>
      </c>
      <c r="AD72" s="17">
        <v>1</v>
      </c>
      <c r="AE72" s="17"/>
      <c r="AF72" s="18" t="s">
        <v>98</v>
      </c>
    </row>
    <row r="73" spans="1:32" x14ac:dyDescent="0.35">
      <c r="A73" s="15" t="s">
        <v>116</v>
      </c>
      <c r="B73" s="15" t="s">
        <v>20</v>
      </c>
      <c r="C73" s="15">
        <v>1</v>
      </c>
      <c r="D73" s="15">
        <v>1</v>
      </c>
      <c r="E73" s="15">
        <v>0</v>
      </c>
      <c r="F73" s="15">
        <v>0</v>
      </c>
      <c r="G73" s="15">
        <v>0</v>
      </c>
      <c r="H73" s="15">
        <v>0</v>
      </c>
      <c r="I73" s="15">
        <v>0</v>
      </c>
      <c r="J73" s="15"/>
      <c r="K73" s="15">
        <v>0</v>
      </c>
      <c r="L73" s="15">
        <v>0</v>
      </c>
      <c r="M73" s="15">
        <v>1</v>
      </c>
      <c r="N73" s="15" t="s">
        <v>117</v>
      </c>
      <c r="O73" s="15">
        <v>0</v>
      </c>
      <c r="P73" s="15">
        <v>3</v>
      </c>
      <c r="Q73" s="15">
        <v>0</v>
      </c>
      <c r="R73" s="15">
        <v>1</v>
      </c>
      <c r="S73" s="15">
        <v>0</v>
      </c>
      <c r="T73" s="15">
        <v>0</v>
      </c>
      <c r="U73" s="15">
        <v>0</v>
      </c>
      <c r="V73" s="15">
        <v>3</v>
      </c>
      <c r="W73" s="15" t="s">
        <v>118</v>
      </c>
      <c r="X73" s="15">
        <v>4</v>
      </c>
      <c r="Y73" s="15">
        <v>2</v>
      </c>
      <c r="Z73" s="15">
        <v>0</v>
      </c>
      <c r="AA73" s="15">
        <v>1</v>
      </c>
      <c r="AB73" s="15">
        <v>5</v>
      </c>
      <c r="AC73" s="15">
        <v>4</v>
      </c>
      <c r="AD73" s="15">
        <v>4</v>
      </c>
      <c r="AE73" s="15"/>
      <c r="AF73" s="16"/>
    </row>
    <row r="74" spans="1:32" x14ac:dyDescent="0.35">
      <c r="A74" s="19" t="s">
        <v>127</v>
      </c>
      <c r="B74" s="19" t="s">
        <v>20</v>
      </c>
      <c r="C74" s="19">
        <v>1</v>
      </c>
      <c r="D74" s="19">
        <v>5</v>
      </c>
      <c r="E74" s="19">
        <v>1</v>
      </c>
      <c r="F74" s="19">
        <v>4</v>
      </c>
      <c r="G74" s="19">
        <v>3</v>
      </c>
      <c r="H74" s="19">
        <v>1</v>
      </c>
      <c r="I74" s="19">
        <v>2</v>
      </c>
      <c r="J74" s="19" t="s">
        <v>128</v>
      </c>
      <c r="K74" s="19">
        <v>2</v>
      </c>
      <c r="L74" s="19">
        <v>1</v>
      </c>
      <c r="M74" s="19">
        <v>4</v>
      </c>
      <c r="N74" s="19" t="s">
        <v>129</v>
      </c>
      <c r="O74" s="19">
        <v>5</v>
      </c>
      <c r="P74" s="19">
        <v>1</v>
      </c>
      <c r="Q74" s="19">
        <v>4</v>
      </c>
      <c r="R74" s="19">
        <v>3</v>
      </c>
      <c r="S74" s="19">
        <v>2</v>
      </c>
      <c r="T74" s="19">
        <v>2</v>
      </c>
      <c r="U74" s="19">
        <v>1</v>
      </c>
      <c r="V74" s="19">
        <v>4</v>
      </c>
      <c r="W74" s="19" t="s">
        <v>130</v>
      </c>
      <c r="X74" s="19">
        <v>2</v>
      </c>
      <c r="Y74" s="19">
        <v>5</v>
      </c>
      <c r="Z74" s="19">
        <v>3</v>
      </c>
      <c r="AA74" s="19">
        <v>2</v>
      </c>
      <c r="AB74" s="19">
        <v>1</v>
      </c>
      <c r="AC74" s="19">
        <v>1</v>
      </c>
      <c r="AD74" s="19">
        <v>1</v>
      </c>
      <c r="AE74" s="19" t="s">
        <v>131</v>
      </c>
      <c r="AF74" s="20" t="s">
        <v>132</v>
      </c>
    </row>
    <row r="75" spans="1:32" x14ac:dyDescent="0.35">
      <c r="A75" s="15" t="s">
        <v>161</v>
      </c>
      <c r="B75" s="15" t="s">
        <v>20</v>
      </c>
      <c r="C75" s="15">
        <v>1</v>
      </c>
      <c r="D75" s="15">
        <v>3</v>
      </c>
      <c r="E75" s="15">
        <v>1</v>
      </c>
      <c r="F75" s="15">
        <v>3</v>
      </c>
      <c r="G75" s="15">
        <v>2</v>
      </c>
      <c r="H75" s="15">
        <v>1</v>
      </c>
      <c r="I75" s="15">
        <v>0</v>
      </c>
      <c r="J75" s="15"/>
      <c r="K75" s="15">
        <v>1</v>
      </c>
      <c r="L75" s="15">
        <v>3</v>
      </c>
      <c r="M75" s="15">
        <v>1</v>
      </c>
      <c r="N75" s="15"/>
      <c r="O75" s="15">
        <v>2</v>
      </c>
      <c r="P75" s="15">
        <v>1</v>
      </c>
      <c r="Q75" s="15">
        <v>2</v>
      </c>
      <c r="R75" s="15">
        <v>3</v>
      </c>
      <c r="S75" s="15">
        <v>1</v>
      </c>
      <c r="T75" s="15">
        <v>1</v>
      </c>
      <c r="U75" s="15">
        <v>3</v>
      </c>
      <c r="V75" s="15">
        <v>1</v>
      </c>
      <c r="W75" s="15"/>
      <c r="X75" s="15">
        <v>2</v>
      </c>
      <c r="Y75" s="15">
        <v>2</v>
      </c>
      <c r="Z75" s="15">
        <v>1</v>
      </c>
      <c r="AA75" s="15">
        <v>3</v>
      </c>
      <c r="AB75" s="15">
        <v>4</v>
      </c>
      <c r="AC75" s="15">
        <v>3</v>
      </c>
      <c r="AD75" s="15">
        <v>4</v>
      </c>
      <c r="AE75" s="15"/>
      <c r="AF75" s="16"/>
    </row>
    <row r="76" spans="1:32" s="29" customFormat="1" ht="13.15" x14ac:dyDescent="0.4">
      <c r="A76" s="28" t="s">
        <v>295</v>
      </c>
      <c r="D76" s="30">
        <f>AVERAGE(D56:D75)</f>
        <v>2.4500000000000002</v>
      </c>
      <c r="E76" s="30">
        <f t="shared" ref="E76:AC76" si="3">AVERAGE(E56:E75)</f>
        <v>1.35</v>
      </c>
      <c r="F76" s="30">
        <f t="shared" si="3"/>
        <v>1.35</v>
      </c>
      <c r="G76" s="30">
        <f t="shared" si="3"/>
        <v>1.75</v>
      </c>
      <c r="H76" s="30">
        <f t="shared" si="3"/>
        <v>0.95</v>
      </c>
      <c r="I76" s="30">
        <f t="shared" si="3"/>
        <v>0.5</v>
      </c>
      <c r="J76" s="30"/>
      <c r="K76" s="30">
        <f t="shared" si="3"/>
        <v>2.2999999999999998</v>
      </c>
      <c r="L76" s="30">
        <f t="shared" si="3"/>
        <v>1.95</v>
      </c>
      <c r="M76" s="30">
        <f t="shared" si="3"/>
        <v>2.1</v>
      </c>
      <c r="N76" s="30"/>
      <c r="O76" s="30">
        <f t="shared" si="3"/>
        <v>2.15</v>
      </c>
      <c r="P76" s="30">
        <f t="shared" si="3"/>
        <v>2.4500000000000002</v>
      </c>
      <c r="Q76" s="30">
        <f t="shared" si="3"/>
        <v>1.9</v>
      </c>
      <c r="R76" s="30">
        <f t="shared" si="3"/>
        <v>2.2000000000000002</v>
      </c>
      <c r="S76" s="30">
        <f t="shared" si="3"/>
        <v>1.55</v>
      </c>
      <c r="T76" s="30">
        <f t="shared" si="3"/>
        <v>2.5</v>
      </c>
      <c r="U76" s="30">
        <f t="shared" si="3"/>
        <v>1.95</v>
      </c>
      <c r="V76" s="30">
        <f t="shared" si="3"/>
        <v>1.7</v>
      </c>
      <c r="W76" s="30"/>
      <c r="X76" s="30">
        <f t="shared" si="3"/>
        <v>2.4500000000000002</v>
      </c>
      <c r="Y76" s="30">
        <f t="shared" si="3"/>
        <v>2.65</v>
      </c>
      <c r="Z76" s="30">
        <f t="shared" si="3"/>
        <v>1.5</v>
      </c>
      <c r="AA76" s="30">
        <f t="shared" si="3"/>
        <v>1.8</v>
      </c>
      <c r="AB76" s="30">
        <f t="shared" si="3"/>
        <v>3.4</v>
      </c>
      <c r="AC76" s="30">
        <f t="shared" si="3"/>
        <v>2.7</v>
      </c>
      <c r="AD76" s="30">
        <f>AVERAGE(AD56:AD75)</f>
        <v>3.05</v>
      </c>
      <c r="AE76" s="30"/>
      <c r="AF76" s="30"/>
    </row>
  </sheetData>
  <autoFilter ref="A1:AF33" xr:uid="{6544942C-7EF9-4B6E-B3A0-B1DD88B844F7}"/>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E3CA7-EA84-47AE-A83B-511260987F1E}">
  <dimension ref="A1:AF74"/>
  <sheetViews>
    <sheetView zoomScale="80" zoomScaleNormal="80" workbookViewId="0">
      <selection activeCell="AB50" sqref="A50:XFD50"/>
    </sheetView>
  </sheetViews>
  <sheetFormatPr baseColWidth="10" defaultRowHeight="12.75" x14ac:dyDescent="0.35"/>
  <cols>
    <col min="1" max="1" width="19.796875" bestFit="1" customWidth="1"/>
    <col min="2" max="2" width="28.796875" bestFit="1" customWidth="1"/>
    <col min="3" max="3" width="4.6640625" customWidth="1"/>
    <col min="23" max="23" width="58" customWidth="1"/>
    <col min="31" max="31" width="106.46484375" customWidth="1"/>
    <col min="32" max="32" width="116.46484375" bestFit="1" customWidth="1"/>
  </cols>
  <sheetData>
    <row r="1" spans="1:32" ht="51" x14ac:dyDescent="0.35">
      <c r="A1" s="10" t="s">
        <v>1</v>
      </c>
      <c r="B1" s="10" t="s">
        <v>2</v>
      </c>
      <c r="C1" s="10" t="s">
        <v>3</v>
      </c>
      <c r="D1" s="21" t="s">
        <v>296</v>
      </c>
      <c r="E1" s="21" t="s">
        <v>292</v>
      </c>
      <c r="F1" s="21" t="s">
        <v>293</v>
      </c>
      <c r="G1" s="21" t="s">
        <v>47</v>
      </c>
      <c r="H1" s="22" t="s">
        <v>288</v>
      </c>
      <c r="I1" s="22" t="s">
        <v>289</v>
      </c>
      <c r="J1" s="10" t="s">
        <v>4</v>
      </c>
      <c r="K1" s="22" t="s">
        <v>37</v>
      </c>
      <c r="L1" s="22" t="s">
        <v>290</v>
      </c>
      <c r="M1" s="22" t="s">
        <v>291</v>
      </c>
      <c r="N1" s="10" t="s">
        <v>5</v>
      </c>
      <c r="O1" s="21" t="s">
        <v>294</v>
      </c>
      <c r="P1" s="21" t="s">
        <v>292</v>
      </c>
      <c r="Q1" s="21" t="s">
        <v>293</v>
      </c>
      <c r="R1" s="21" t="s">
        <v>47</v>
      </c>
      <c r="S1" s="22" t="s">
        <v>288</v>
      </c>
      <c r="T1" s="22" t="s">
        <v>37</v>
      </c>
      <c r="U1" s="22" t="s">
        <v>290</v>
      </c>
      <c r="V1" s="22" t="s">
        <v>291</v>
      </c>
      <c r="W1" s="10" t="s">
        <v>6</v>
      </c>
      <c r="X1" s="11" t="s">
        <v>299</v>
      </c>
      <c r="Y1" s="22" t="s">
        <v>297</v>
      </c>
      <c r="Z1" s="22" t="s">
        <v>287</v>
      </c>
      <c r="AA1" s="22" t="s">
        <v>298</v>
      </c>
      <c r="AB1" s="32" t="s">
        <v>300</v>
      </c>
      <c r="AC1" s="32" t="s">
        <v>301</v>
      </c>
      <c r="AD1" s="32" t="s">
        <v>302</v>
      </c>
      <c r="AE1" s="11" t="s">
        <v>14</v>
      </c>
      <c r="AF1" s="12" t="s">
        <v>15</v>
      </c>
    </row>
    <row r="2" spans="1:32" x14ac:dyDescent="0.35">
      <c r="A2" s="19" t="s">
        <v>28</v>
      </c>
      <c r="B2" s="19" t="s">
        <v>20</v>
      </c>
      <c r="C2" s="19">
        <v>2</v>
      </c>
      <c r="D2" s="19">
        <v>5</v>
      </c>
      <c r="E2" s="19">
        <v>1</v>
      </c>
      <c r="F2" s="19">
        <v>3</v>
      </c>
      <c r="G2" s="19">
        <v>4</v>
      </c>
      <c r="H2" s="19">
        <v>4</v>
      </c>
      <c r="I2" s="19">
        <v>0</v>
      </c>
      <c r="J2" s="19"/>
      <c r="K2" s="19">
        <v>4</v>
      </c>
      <c r="L2" s="19">
        <v>2</v>
      </c>
      <c r="M2" s="19">
        <v>1</v>
      </c>
      <c r="N2" s="19"/>
      <c r="O2" s="19">
        <v>4</v>
      </c>
      <c r="P2" s="19">
        <v>1</v>
      </c>
      <c r="Q2" s="19">
        <v>2</v>
      </c>
      <c r="R2" s="19">
        <v>4</v>
      </c>
      <c r="S2" s="19">
        <v>4</v>
      </c>
      <c r="T2" s="19">
        <v>1</v>
      </c>
      <c r="U2" s="19">
        <v>1</v>
      </c>
      <c r="V2" s="19">
        <v>1</v>
      </c>
      <c r="W2" s="19"/>
      <c r="X2" s="19">
        <v>2</v>
      </c>
      <c r="Y2" s="19">
        <v>5</v>
      </c>
      <c r="Z2" s="19">
        <v>4</v>
      </c>
      <c r="AA2" s="19">
        <v>1</v>
      </c>
      <c r="AB2" s="19">
        <v>1</v>
      </c>
      <c r="AC2" s="19">
        <v>2</v>
      </c>
      <c r="AD2" s="19">
        <v>2</v>
      </c>
      <c r="AE2" s="19"/>
      <c r="AF2" s="20"/>
    </row>
    <row r="3" spans="1:32" x14ac:dyDescent="0.35">
      <c r="A3" s="15" t="s">
        <v>16</v>
      </c>
      <c r="B3" s="15" t="s">
        <v>17</v>
      </c>
      <c r="C3" s="15">
        <v>2</v>
      </c>
      <c r="D3" s="15">
        <v>1</v>
      </c>
      <c r="E3" s="15">
        <v>0</v>
      </c>
      <c r="F3" s="15">
        <v>0</v>
      </c>
      <c r="G3" s="15">
        <v>0</v>
      </c>
      <c r="H3" s="15">
        <v>0</v>
      </c>
      <c r="I3" s="15">
        <v>0</v>
      </c>
      <c r="J3" s="15"/>
      <c r="K3" s="15">
        <v>2</v>
      </c>
      <c r="L3" s="15">
        <v>4</v>
      </c>
      <c r="M3" s="15">
        <v>1</v>
      </c>
      <c r="N3" s="15"/>
      <c r="O3" s="15">
        <v>4</v>
      </c>
      <c r="P3" s="15">
        <v>1</v>
      </c>
      <c r="Q3" s="15">
        <v>4</v>
      </c>
      <c r="R3" s="15">
        <v>3</v>
      </c>
      <c r="S3" s="15">
        <v>1</v>
      </c>
      <c r="T3" s="15">
        <v>1</v>
      </c>
      <c r="U3" s="15">
        <v>4</v>
      </c>
      <c r="V3" s="15">
        <v>3</v>
      </c>
      <c r="W3" s="15"/>
      <c r="X3" s="15">
        <v>4</v>
      </c>
      <c r="Y3" s="15">
        <v>4</v>
      </c>
      <c r="Z3" s="15">
        <v>3</v>
      </c>
      <c r="AA3" s="15">
        <v>2</v>
      </c>
      <c r="AB3" s="15">
        <v>2</v>
      </c>
      <c r="AC3" s="15">
        <v>2</v>
      </c>
      <c r="AD3" s="15">
        <v>3</v>
      </c>
      <c r="AE3" s="15"/>
      <c r="AF3" s="16"/>
    </row>
    <row r="4" spans="1:32" x14ac:dyDescent="0.35">
      <c r="A4" s="13" t="s">
        <v>30</v>
      </c>
      <c r="B4" s="13" t="s">
        <v>20</v>
      </c>
      <c r="C4" s="13">
        <v>2</v>
      </c>
      <c r="D4" s="13">
        <v>3</v>
      </c>
      <c r="E4" s="13">
        <v>2</v>
      </c>
      <c r="F4" s="13">
        <v>4</v>
      </c>
      <c r="G4" s="13">
        <v>5</v>
      </c>
      <c r="H4" s="13">
        <v>3</v>
      </c>
      <c r="I4" s="13">
        <v>0</v>
      </c>
      <c r="J4" s="13"/>
      <c r="K4" s="13">
        <v>2</v>
      </c>
      <c r="L4" s="13">
        <v>2</v>
      </c>
      <c r="M4" s="13">
        <v>4</v>
      </c>
      <c r="N4" s="13"/>
      <c r="O4" s="13">
        <v>3</v>
      </c>
      <c r="P4" s="13">
        <v>2</v>
      </c>
      <c r="Q4" s="13">
        <v>4</v>
      </c>
      <c r="R4" s="13">
        <v>4</v>
      </c>
      <c r="S4" s="13">
        <v>3</v>
      </c>
      <c r="T4" s="13">
        <v>2</v>
      </c>
      <c r="U4" s="13">
        <v>3</v>
      </c>
      <c r="V4" s="13">
        <v>4</v>
      </c>
      <c r="W4" s="13"/>
      <c r="X4" s="13">
        <v>4</v>
      </c>
      <c r="Y4" s="13">
        <v>5</v>
      </c>
      <c r="Z4" s="13">
        <v>4</v>
      </c>
      <c r="AA4" s="13">
        <v>3</v>
      </c>
      <c r="AB4" s="13">
        <v>4</v>
      </c>
      <c r="AC4" s="13">
        <v>4</v>
      </c>
      <c r="AD4" s="13">
        <v>3</v>
      </c>
      <c r="AE4" s="13"/>
      <c r="AF4" s="14"/>
    </row>
    <row r="5" spans="1:32" x14ac:dyDescent="0.35">
      <c r="A5" s="17" t="s">
        <v>23</v>
      </c>
      <c r="B5" s="17" t="s">
        <v>20</v>
      </c>
      <c r="C5" s="17">
        <v>2</v>
      </c>
      <c r="D5" s="17">
        <v>4</v>
      </c>
      <c r="E5" s="17">
        <v>3</v>
      </c>
      <c r="F5" s="17">
        <v>2</v>
      </c>
      <c r="G5" s="17">
        <v>4</v>
      </c>
      <c r="H5" s="17">
        <v>3</v>
      </c>
      <c r="I5" s="17">
        <v>0</v>
      </c>
      <c r="J5" s="17"/>
      <c r="K5" s="17">
        <v>3</v>
      </c>
      <c r="L5" s="17">
        <v>4</v>
      </c>
      <c r="M5" s="17">
        <v>3</v>
      </c>
      <c r="N5" s="17"/>
      <c r="O5" s="17">
        <v>4</v>
      </c>
      <c r="P5" s="17">
        <v>2</v>
      </c>
      <c r="Q5" s="17">
        <v>1</v>
      </c>
      <c r="R5" s="17">
        <v>4</v>
      </c>
      <c r="S5" s="17">
        <v>3</v>
      </c>
      <c r="T5" s="17">
        <v>1</v>
      </c>
      <c r="U5" s="17">
        <v>3</v>
      </c>
      <c r="V5" s="17">
        <v>2</v>
      </c>
      <c r="W5" s="17"/>
      <c r="X5" s="17">
        <v>5</v>
      </c>
      <c r="Y5" s="17">
        <v>2</v>
      </c>
      <c r="Z5" s="17">
        <v>3</v>
      </c>
      <c r="AA5" s="17">
        <v>0</v>
      </c>
      <c r="AB5" s="17">
        <v>2</v>
      </c>
      <c r="AC5" s="17">
        <v>4</v>
      </c>
      <c r="AD5" s="17">
        <v>3</v>
      </c>
      <c r="AE5" s="17">
        <v>6.8</v>
      </c>
      <c r="AF5" s="18"/>
    </row>
    <row r="6" spans="1:32" x14ac:dyDescent="0.35">
      <c r="A6" s="13" t="s">
        <v>24</v>
      </c>
      <c r="B6" s="13" t="s">
        <v>20</v>
      </c>
      <c r="C6" s="13">
        <v>2</v>
      </c>
      <c r="D6" s="13">
        <v>3</v>
      </c>
      <c r="E6" s="13">
        <v>1</v>
      </c>
      <c r="F6" s="13">
        <v>3</v>
      </c>
      <c r="G6" s="13">
        <v>2</v>
      </c>
      <c r="H6" s="13">
        <v>1</v>
      </c>
      <c r="I6" s="13">
        <v>1</v>
      </c>
      <c r="J6" s="13" t="s">
        <v>61</v>
      </c>
      <c r="K6" s="13">
        <v>3</v>
      </c>
      <c r="L6" s="13">
        <v>1</v>
      </c>
      <c r="M6" s="13">
        <v>1</v>
      </c>
      <c r="N6" s="13"/>
      <c r="O6" s="13">
        <v>2</v>
      </c>
      <c r="P6" s="13">
        <v>4</v>
      </c>
      <c r="Q6" s="13">
        <v>1</v>
      </c>
      <c r="R6" s="13">
        <v>2</v>
      </c>
      <c r="S6" s="13">
        <v>2</v>
      </c>
      <c r="T6" s="13">
        <v>3</v>
      </c>
      <c r="U6" s="13">
        <v>2</v>
      </c>
      <c r="V6" s="13">
        <v>1</v>
      </c>
      <c r="W6" s="13"/>
      <c r="X6" s="13">
        <v>4</v>
      </c>
      <c r="Y6" s="13">
        <v>2</v>
      </c>
      <c r="Z6" s="13">
        <v>2</v>
      </c>
      <c r="AA6" s="13">
        <v>2</v>
      </c>
      <c r="AB6" s="13">
        <v>4</v>
      </c>
      <c r="AC6" s="13">
        <v>2</v>
      </c>
      <c r="AD6" s="13">
        <v>3</v>
      </c>
      <c r="AE6" s="13" t="s">
        <v>62</v>
      </c>
      <c r="AF6" s="14"/>
    </row>
    <row r="7" spans="1:32" x14ac:dyDescent="0.35">
      <c r="A7" s="17" t="s">
        <v>74</v>
      </c>
      <c r="B7" s="17" t="s">
        <v>20</v>
      </c>
      <c r="C7" s="17">
        <v>2</v>
      </c>
      <c r="D7" s="17">
        <v>2.5</v>
      </c>
      <c r="E7" s="17">
        <v>2</v>
      </c>
      <c r="F7" s="17">
        <v>0</v>
      </c>
      <c r="G7" s="17">
        <v>2</v>
      </c>
      <c r="H7" s="17">
        <v>0</v>
      </c>
      <c r="I7" s="17">
        <v>0</v>
      </c>
      <c r="J7" s="17"/>
      <c r="K7" s="17">
        <v>2</v>
      </c>
      <c r="L7" s="17">
        <v>1</v>
      </c>
      <c r="M7" s="17">
        <v>1</v>
      </c>
      <c r="N7" s="17"/>
      <c r="O7" s="17">
        <v>2</v>
      </c>
      <c r="P7" s="17">
        <v>3</v>
      </c>
      <c r="Q7" s="17">
        <v>1</v>
      </c>
      <c r="R7" s="17">
        <v>2</v>
      </c>
      <c r="S7" s="17">
        <v>1</v>
      </c>
      <c r="T7" s="17">
        <v>2</v>
      </c>
      <c r="U7" s="17">
        <v>1</v>
      </c>
      <c r="V7" s="17">
        <v>1</v>
      </c>
      <c r="W7" s="17"/>
      <c r="X7" s="17">
        <v>2</v>
      </c>
      <c r="Y7" s="17">
        <v>3</v>
      </c>
      <c r="Z7" s="17">
        <v>1</v>
      </c>
      <c r="AA7" s="17">
        <v>1</v>
      </c>
      <c r="AB7" s="17">
        <v>4</v>
      </c>
      <c r="AC7" s="17">
        <v>3</v>
      </c>
      <c r="AD7" s="17">
        <v>4</v>
      </c>
      <c r="AE7" s="17"/>
      <c r="AF7" s="18"/>
    </row>
    <row r="8" spans="1:32" x14ac:dyDescent="0.35">
      <c r="A8" s="19" t="s">
        <v>75</v>
      </c>
      <c r="B8" s="19" t="s">
        <v>17</v>
      </c>
      <c r="C8" s="19">
        <v>2</v>
      </c>
      <c r="D8" s="19">
        <v>1</v>
      </c>
      <c r="E8" s="19">
        <v>0</v>
      </c>
      <c r="F8" s="19">
        <v>0</v>
      </c>
      <c r="G8" s="19">
        <v>1</v>
      </c>
      <c r="H8" s="19">
        <v>0</v>
      </c>
      <c r="I8" s="19">
        <v>0</v>
      </c>
      <c r="J8" s="19"/>
      <c r="K8" s="19">
        <v>2</v>
      </c>
      <c r="L8" s="19">
        <v>1</v>
      </c>
      <c r="M8" s="19">
        <v>2</v>
      </c>
      <c r="N8" s="19"/>
      <c r="O8" s="19">
        <v>2</v>
      </c>
      <c r="P8" s="19">
        <v>1</v>
      </c>
      <c r="Q8" s="19">
        <v>1</v>
      </c>
      <c r="R8" s="19">
        <v>3</v>
      </c>
      <c r="S8" s="19">
        <v>2</v>
      </c>
      <c r="T8" s="19">
        <v>3</v>
      </c>
      <c r="U8" s="19">
        <v>2</v>
      </c>
      <c r="V8" s="19">
        <v>3</v>
      </c>
      <c r="W8" s="19"/>
      <c r="X8" s="19">
        <v>3</v>
      </c>
      <c r="Y8" s="19">
        <v>2</v>
      </c>
      <c r="Z8" s="19">
        <v>3</v>
      </c>
      <c r="AA8" s="19">
        <v>2</v>
      </c>
      <c r="AB8" s="19">
        <v>3</v>
      </c>
      <c r="AC8" s="19">
        <v>3</v>
      </c>
      <c r="AD8" s="19">
        <v>3</v>
      </c>
      <c r="AE8" s="19"/>
      <c r="AF8" s="20"/>
    </row>
    <row r="9" spans="1:32" x14ac:dyDescent="0.35">
      <c r="A9" s="15" t="s">
        <v>44</v>
      </c>
      <c r="B9" s="15" t="s">
        <v>20</v>
      </c>
      <c r="C9" s="15">
        <v>2</v>
      </c>
      <c r="D9" s="15">
        <v>2</v>
      </c>
      <c r="E9" s="15">
        <v>1</v>
      </c>
      <c r="F9" s="15">
        <v>2</v>
      </c>
      <c r="G9" s="15">
        <v>1</v>
      </c>
      <c r="H9" s="15">
        <v>1</v>
      </c>
      <c r="I9" s="15">
        <v>0</v>
      </c>
      <c r="J9" s="15"/>
      <c r="K9" s="15">
        <v>2</v>
      </c>
      <c r="L9" s="15">
        <v>3</v>
      </c>
      <c r="M9" s="15">
        <v>1</v>
      </c>
      <c r="N9" s="15"/>
      <c r="O9" s="15">
        <v>2</v>
      </c>
      <c r="P9" s="15">
        <v>2</v>
      </c>
      <c r="Q9" s="15">
        <v>1</v>
      </c>
      <c r="R9" s="15">
        <v>1</v>
      </c>
      <c r="S9" s="15">
        <v>2</v>
      </c>
      <c r="T9" s="15">
        <v>2</v>
      </c>
      <c r="U9" s="15">
        <v>3</v>
      </c>
      <c r="V9" s="15">
        <v>1</v>
      </c>
      <c r="W9" s="15"/>
      <c r="X9" s="15">
        <v>2</v>
      </c>
      <c r="Y9" s="15">
        <v>1</v>
      </c>
      <c r="Z9" s="15">
        <v>0</v>
      </c>
      <c r="AA9" s="15">
        <v>0</v>
      </c>
      <c r="AB9" s="15">
        <v>2</v>
      </c>
      <c r="AC9" s="15">
        <v>2</v>
      </c>
      <c r="AD9" s="15">
        <v>3</v>
      </c>
      <c r="AE9" s="15"/>
      <c r="AF9" s="16"/>
    </row>
    <row r="10" spans="1:32" x14ac:dyDescent="0.35">
      <c r="A10" s="19" t="s">
        <v>91</v>
      </c>
      <c r="B10" s="19" t="s">
        <v>20</v>
      </c>
      <c r="C10" s="19">
        <v>2</v>
      </c>
      <c r="D10" s="19">
        <v>1</v>
      </c>
      <c r="E10" s="19">
        <v>0</v>
      </c>
      <c r="F10" s="19">
        <v>1</v>
      </c>
      <c r="G10" s="19">
        <v>3</v>
      </c>
      <c r="H10" s="19">
        <v>1</v>
      </c>
      <c r="I10" s="19">
        <v>0</v>
      </c>
      <c r="J10" s="19" t="s">
        <v>92</v>
      </c>
      <c r="K10" s="19">
        <v>1</v>
      </c>
      <c r="L10" s="19">
        <v>4</v>
      </c>
      <c r="M10" s="19">
        <v>3</v>
      </c>
      <c r="N10" s="19"/>
      <c r="O10" s="19">
        <v>3</v>
      </c>
      <c r="P10" s="19">
        <v>1</v>
      </c>
      <c r="Q10" s="19">
        <v>2</v>
      </c>
      <c r="R10" s="19">
        <v>4</v>
      </c>
      <c r="S10" s="19">
        <v>2</v>
      </c>
      <c r="T10" s="19">
        <v>1</v>
      </c>
      <c r="U10" s="19">
        <v>3</v>
      </c>
      <c r="V10" s="19">
        <v>3</v>
      </c>
      <c r="W10" s="19" t="s">
        <v>93</v>
      </c>
      <c r="X10" s="19">
        <v>3</v>
      </c>
      <c r="Y10" s="19">
        <v>3</v>
      </c>
      <c r="Z10" s="19">
        <v>1</v>
      </c>
      <c r="AA10" s="19">
        <v>2</v>
      </c>
      <c r="AB10" s="19">
        <v>3</v>
      </c>
      <c r="AC10" s="19">
        <v>3</v>
      </c>
      <c r="AD10" s="19">
        <v>3</v>
      </c>
      <c r="AE10" s="19" t="s">
        <v>94</v>
      </c>
      <c r="AF10" s="20"/>
    </row>
    <row r="11" spans="1:32" x14ac:dyDescent="0.35">
      <c r="A11" s="17" t="s">
        <v>29</v>
      </c>
      <c r="B11" s="17" t="s">
        <v>20</v>
      </c>
      <c r="C11" s="17">
        <v>2</v>
      </c>
      <c r="D11" s="17">
        <v>4</v>
      </c>
      <c r="E11" s="17">
        <v>0</v>
      </c>
      <c r="F11" s="17">
        <v>1</v>
      </c>
      <c r="G11" s="17">
        <v>1</v>
      </c>
      <c r="H11" s="17">
        <v>2</v>
      </c>
      <c r="I11" s="17">
        <v>3</v>
      </c>
      <c r="J11" s="17" t="s">
        <v>64</v>
      </c>
      <c r="K11" s="17">
        <v>1</v>
      </c>
      <c r="L11" s="17">
        <v>3</v>
      </c>
      <c r="M11" s="17">
        <v>1</v>
      </c>
      <c r="N11" s="17" t="s">
        <v>64</v>
      </c>
      <c r="O11" s="17">
        <v>2</v>
      </c>
      <c r="P11" s="17">
        <v>1</v>
      </c>
      <c r="Q11" s="17">
        <v>2</v>
      </c>
      <c r="R11" s="17">
        <v>2</v>
      </c>
      <c r="S11" s="17">
        <v>4</v>
      </c>
      <c r="T11" s="17">
        <v>1</v>
      </c>
      <c r="U11" s="17">
        <v>4</v>
      </c>
      <c r="V11" s="17">
        <v>1</v>
      </c>
      <c r="W11" s="17"/>
      <c r="X11" s="17">
        <v>5</v>
      </c>
      <c r="Y11" s="17">
        <v>1</v>
      </c>
      <c r="Z11" s="17">
        <v>0</v>
      </c>
      <c r="AA11" s="17">
        <v>0</v>
      </c>
      <c r="AB11" s="17">
        <v>1</v>
      </c>
      <c r="AC11" s="17">
        <v>3</v>
      </c>
      <c r="AD11" s="17">
        <v>4</v>
      </c>
      <c r="AE11" s="17" t="s">
        <v>95</v>
      </c>
      <c r="AF11" s="18"/>
    </row>
    <row r="12" spans="1:32" x14ac:dyDescent="0.35">
      <c r="A12" s="19" t="s">
        <v>33</v>
      </c>
      <c r="B12" s="19" t="s">
        <v>20</v>
      </c>
      <c r="C12" s="19">
        <v>2</v>
      </c>
      <c r="D12" s="19">
        <v>4</v>
      </c>
      <c r="E12" s="19">
        <v>1</v>
      </c>
      <c r="F12" s="19">
        <v>4</v>
      </c>
      <c r="G12" s="19">
        <v>5</v>
      </c>
      <c r="H12" s="19">
        <v>3</v>
      </c>
      <c r="I12" s="19">
        <v>0</v>
      </c>
      <c r="J12" s="19"/>
      <c r="K12" s="19">
        <v>1</v>
      </c>
      <c r="L12" s="19">
        <v>4</v>
      </c>
      <c r="M12" s="19">
        <v>2</v>
      </c>
      <c r="N12" s="19"/>
      <c r="O12" s="19">
        <v>4</v>
      </c>
      <c r="P12" s="19">
        <v>1</v>
      </c>
      <c r="Q12" s="19">
        <v>3</v>
      </c>
      <c r="R12" s="19">
        <v>5</v>
      </c>
      <c r="S12" s="19">
        <v>4</v>
      </c>
      <c r="T12" s="19">
        <v>1</v>
      </c>
      <c r="U12" s="19">
        <v>3</v>
      </c>
      <c r="V12" s="19">
        <v>2</v>
      </c>
      <c r="W12" s="19"/>
      <c r="X12" s="19">
        <v>2</v>
      </c>
      <c r="Y12" s="19">
        <v>4</v>
      </c>
      <c r="Z12" s="19">
        <v>3</v>
      </c>
      <c r="AA12" s="19">
        <v>5</v>
      </c>
      <c r="AB12" s="19">
        <v>2</v>
      </c>
      <c r="AC12" s="19">
        <v>2</v>
      </c>
      <c r="AD12" s="19">
        <v>2</v>
      </c>
      <c r="AE12" s="19"/>
      <c r="AF12" s="20" t="s">
        <v>96</v>
      </c>
    </row>
    <row r="13" spans="1:32" x14ac:dyDescent="0.35">
      <c r="A13" s="15" t="s">
        <v>42</v>
      </c>
      <c r="B13" s="15" t="s">
        <v>20</v>
      </c>
      <c r="C13" s="15">
        <v>2</v>
      </c>
      <c r="D13" s="15">
        <v>4</v>
      </c>
      <c r="E13" s="15">
        <v>2</v>
      </c>
      <c r="F13" s="15">
        <v>3</v>
      </c>
      <c r="G13" s="15">
        <v>1</v>
      </c>
      <c r="H13" s="15">
        <v>0</v>
      </c>
      <c r="I13" s="15">
        <v>0</v>
      </c>
      <c r="J13" s="15"/>
      <c r="K13" s="15">
        <v>1</v>
      </c>
      <c r="L13" s="15">
        <v>1</v>
      </c>
      <c r="M13" s="15">
        <v>2</v>
      </c>
      <c r="N13" s="15"/>
      <c r="O13" s="15">
        <v>2</v>
      </c>
      <c r="P13" s="15">
        <v>4</v>
      </c>
      <c r="Q13" s="15">
        <v>2</v>
      </c>
      <c r="R13" s="15">
        <v>1</v>
      </c>
      <c r="S13" s="15">
        <v>1</v>
      </c>
      <c r="T13" s="15">
        <v>1</v>
      </c>
      <c r="U13" s="15">
        <v>1</v>
      </c>
      <c r="V13" s="15">
        <v>2</v>
      </c>
      <c r="W13" s="15"/>
      <c r="X13" s="15">
        <v>3</v>
      </c>
      <c r="Y13" s="15">
        <v>2</v>
      </c>
      <c r="Z13" s="15">
        <v>1</v>
      </c>
      <c r="AA13" s="15">
        <v>3</v>
      </c>
      <c r="AB13" s="15">
        <v>3</v>
      </c>
      <c r="AC13" s="15">
        <v>4</v>
      </c>
      <c r="AD13" s="15">
        <v>3</v>
      </c>
      <c r="AE13" s="15"/>
      <c r="AF13" s="16"/>
    </row>
    <row r="14" spans="1:32" x14ac:dyDescent="0.35">
      <c r="A14" s="19" t="s">
        <v>107</v>
      </c>
      <c r="B14" s="19" t="s">
        <v>20</v>
      </c>
      <c r="C14" s="19">
        <v>2</v>
      </c>
      <c r="D14" s="19">
        <v>3.5</v>
      </c>
      <c r="E14" s="19">
        <v>2</v>
      </c>
      <c r="F14" s="19">
        <v>1</v>
      </c>
      <c r="G14" s="19">
        <v>2.5</v>
      </c>
      <c r="H14" s="19">
        <v>2.5</v>
      </c>
      <c r="I14" s="19">
        <v>2</v>
      </c>
      <c r="J14" s="19" t="s">
        <v>108</v>
      </c>
      <c r="K14" s="19">
        <v>2</v>
      </c>
      <c r="L14" s="19">
        <v>4</v>
      </c>
      <c r="M14" s="19">
        <v>3</v>
      </c>
      <c r="N14" s="19"/>
      <c r="O14" s="19">
        <v>4</v>
      </c>
      <c r="P14" s="19">
        <v>4</v>
      </c>
      <c r="Q14" s="19">
        <v>2</v>
      </c>
      <c r="R14" s="19">
        <v>3</v>
      </c>
      <c r="S14" s="19">
        <v>3</v>
      </c>
      <c r="T14" s="19">
        <v>3</v>
      </c>
      <c r="U14" s="19">
        <v>4</v>
      </c>
      <c r="V14" s="19">
        <v>2</v>
      </c>
      <c r="W14" s="19"/>
      <c r="X14" s="19">
        <v>4</v>
      </c>
      <c r="Y14" s="19">
        <v>5</v>
      </c>
      <c r="Z14" s="19">
        <v>4</v>
      </c>
      <c r="AA14" s="19">
        <v>3</v>
      </c>
      <c r="AB14" s="19">
        <v>4</v>
      </c>
      <c r="AC14" s="19">
        <v>4</v>
      </c>
      <c r="AD14" s="19">
        <v>4</v>
      </c>
      <c r="AE14" s="19" t="s">
        <v>109</v>
      </c>
      <c r="AF14" s="20"/>
    </row>
    <row r="15" spans="1:32" x14ac:dyDescent="0.35">
      <c r="A15" s="17" t="s">
        <v>39</v>
      </c>
      <c r="B15" s="17" t="s">
        <v>20</v>
      </c>
      <c r="C15" s="17">
        <v>2</v>
      </c>
      <c r="D15" s="17">
        <v>2.5</v>
      </c>
      <c r="E15" s="17">
        <v>1</v>
      </c>
      <c r="F15" s="17">
        <v>2</v>
      </c>
      <c r="G15" s="17">
        <v>2</v>
      </c>
      <c r="H15" s="17">
        <v>0</v>
      </c>
      <c r="I15" s="17">
        <v>0</v>
      </c>
      <c r="J15" s="17" t="s">
        <v>112</v>
      </c>
      <c r="K15" s="17">
        <v>2</v>
      </c>
      <c r="L15" s="17">
        <v>3</v>
      </c>
      <c r="M15" s="17">
        <v>2</v>
      </c>
      <c r="N15" s="17"/>
      <c r="O15" s="17">
        <v>3</v>
      </c>
      <c r="P15" s="17">
        <v>1</v>
      </c>
      <c r="Q15" s="17">
        <v>3</v>
      </c>
      <c r="R15" s="17">
        <v>3</v>
      </c>
      <c r="S15" s="17">
        <v>2</v>
      </c>
      <c r="T15" s="17">
        <v>2</v>
      </c>
      <c r="U15" s="17">
        <v>3</v>
      </c>
      <c r="V15" s="17">
        <v>3</v>
      </c>
      <c r="W15" s="17"/>
      <c r="X15" s="17">
        <v>2</v>
      </c>
      <c r="Y15" s="17">
        <v>2</v>
      </c>
      <c r="Z15" s="17">
        <v>2</v>
      </c>
      <c r="AA15" s="17">
        <v>2</v>
      </c>
      <c r="AB15" s="17">
        <v>3</v>
      </c>
      <c r="AC15" s="17">
        <v>3</v>
      </c>
      <c r="AD15" s="17">
        <v>2</v>
      </c>
      <c r="AE15" s="17"/>
      <c r="AF15" s="18"/>
    </row>
    <row r="16" spans="1:32" x14ac:dyDescent="0.35">
      <c r="A16" s="19" t="s">
        <v>55</v>
      </c>
      <c r="B16" s="19" t="s">
        <v>17</v>
      </c>
      <c r="C16" s="19">
        <v>2</v>
      </c>
      <c r="D16" s="19">
        <v>2.5</v>
      </c>
      <c r="E16" s="19">
        <v>1.5</v>
      </c>
      <c r="F16" s="19">
        <v>1</v>
      </c>
      <c r="G16" s="19">
        <v>0</v>
      </c>
      <c r="H16" s="19">
        <v>0</v>
      </c>
      <c r="I16" s="19">
        <v>0</v>
      </c>
      <c r="J16" s="19" t="s">
        <v>113</v>
      </c>
      <c r="K16" s="19">
        <v>3</v>
      </c>
      <c r="L16" s="19">
        <v>2</v>
      </c>
      <c r="M16" s="19">
        <v>2</v>
      </c>
      <c r="N16" s="19"/>
      <c r="O16" s="19">
        <v>1</v>
      </c>
      <c r="P16" s="19">
        <v>1</v>
      </c>
      <c r="Q16" s="19">
        <v>1</v>
      </c>
      <c r="R16" s="19">
        <v>1</v>
      </c>
      <c r="S16" s="19">
        <v>1</v>
      </c>
      <c r="T16" s="19">
        <v>2</v>
      </c>
      <c r="U16" s="19">
        <v>2</v>
      </c>
      <c r="V16" s="19">
        <v>2</v>
      </c>
      <c r="W16" s="19" t="s">
        <v>114</v>
      </c>
      <c r="X16" s="19">
        <v>2</v>
      </c>
      <c r="Y16" s="19">
        <v>1</v>
      </c>
      <c r="Z16" s="19">
        <v>2</v>
      </c>
      <c r="AA16" s="19">
        <v>2</v>
      </c>
      <c r="AB16" s="19">
        <v>3</v>
      </c>
      <c r="AC16" s="19">
        <v>3</v>
      </c>
      <c r="AD16" s="19">
        <v>2</v>
      </c>
      <c r="AE16" s="19"/>
      <c r="AF16" s="20"/>
    </row>
    <row r="17" spans="1:32" x14ac:dyDescent="0.35">
      <c r="A17" s="17" t="s">
        <v>115</v>
      </c>
      <c r="B17" s="17" t="s">
        <v>17</v>
      </c>
      <c r="C17" s="17">
        <v>2</v>
      </c>
      <c r="D17" s="17">
        <v>3</v>
      </c>
      <c r="E17" s="17">
        <v>2</v>
      </c>
      <c r="F17" s="17">
        <v>1</v>
      </c>
      <c r="G17" s="17">
        <v>2</v>
      </c>
      <c r="H17" s="17">
        <v>0</v>
      </c>
      <c r="I17" s="17">
        <v>0</v>
      </c>
      <c r="J17" s="17"/>
      <c r="K17" s="17">
        <v>4</v>
      </c>
      <c r="L17" s="17">
        <v>4</v>
      </c>
      <c r="M17" s="17">
        <v>2</v>
      </c>
      <c r="N17" s="17"/>
      <c r="O17" s="17">
        <v>4</v>
      </c>
      <c r="P17" s="17">
        <v>4</v>
      </c>
      <c r="Q17" s="17">
        <v>3</v>
      </c>
      <c r="R17" s="17">
        <v>4</v>
      </c>
      <c r="S17" s="17">
        <v>2</v>
      </c>
      <c r="T17" s="17">
        <v>2</v>
      </c>
      <c r="U17" s="17">
        <v>1</v>
      </c>
      <c r="V17" s="17">
        <v>3</v>
      </c>
      <c r="W17" s="17"/>
      <c r="X17" s="17">
        <v>4</v>
      </c>
      <c r="Y17" s="17">
        <v>3</v>
      </c>
      <c r="Z17" s="17">
        <v>2</v>
      </c>
      <c r="AA17" s="17">
        <v>1</v>
      </c>
      <c r="AB17" s="17">
        <v>4</v>
      </c>
      <c r="AC17" s="17">
        <v>4</v>
      </c>
      <c r="AD17" s="17">
        <v>5</v>
      </c>
      <c r="AE17" s="17"/>
      <c r="AF17" s="18"/>
    </row>
    <row r="18" spans="1:32" x14ac:dyDescent="0.35">
      <c r="A18" s="19" t="s">
        <v>49</v>
      </c>
      <c r="B18" s="19" t="s">
        <v>17</v>
      </c>
      <c r="C18" s="19">
        <v>2</v>
      </c>
      <c r="D18" s="19">
        <v>3</v>
      </c>
      <c r="E18" s="19">
        <v>0</v>
      </c>
      <c r="F18" s="19">
        <v>1</v>
      </c>
      <c r="G18" s="19">
        <v>2</v>
      </c>
      <c r="H18" s="19">
        <v>1</v>
      </c>
      <c r="I18" s="19">
        <v>0</v>
      </c>
      <c r="J18" s="19" t="s">
        <v>123</v>
      </c>
      <c r="K18" s="19">
        <v>3</v>
      </c>
      <c r="L18" s="19">
        <v>3</v>
      </c>
      <c r="M18" s="19">
        <v>2</v>
      </c>
      <c r="N18" s="19" t="s">
        <v>51</v>
      </c>
      <c r="O18" s="19">
        <v>3</v>
      </c>
      <c r="P18" s="19">
        <v>1</v>
      </c>
      <c r="Q18" s="19">
        <v>2</v>
      </c>
      <c r="R18" s="19">
        <v>3</v>
      </c>
      <c r="S18" s="19">
        <v>2</v>
      </c>
      <c r="T18" s="19">
        <v>3</v>
      </c>
      <c r="U18" s="19">
        <v>3</v>
      </c>
      <c r="V18" s="19">
        <v>2</v>
      </c>
      <c r="W18" s="19" t="s">
        <v>51</v>
      </c>
      <c r="X18" s="19">
        <v>3</v>
      </c>
      <c r="Y18" s="19">
        <v>2</v>
      </c>
      <c r="Z18" s="19">
        <v>2</v>
      </c>
      <c r="AA18" s="19">
        <v>1</v>
      </c>
      <c r="AB18" s="19">
        <v>3</v>
      </c>
      <c r="AC18" s="19">
        <v>2</v>
      </c>
      <c r="AD18" s="19">
        <v>3</v>
      </c>
      <c r="AE18" s="19"/>
      <c r="AF18" s="20"/>
    </row>
    <row r="19" spans="1:32" x14ac:dyDescent="0.35">
      <c r="A19" s="17" t="s">
        <v>76</v>
      </c>
      <c r="B19" s="17" t="s">
        <v>77</v>
      </c>
      <c r="C19" s="17">
        <v>2</v>
      </c>
      <c r="D19" s="17">
        <v>1</v>
      </c>
      <c r="E19" s="17">
        <v>1</v>
      </c>
      <c r="F19" s="17">
        <v>0</v>
      </c>
      <c r="G19" s="17">
        <v>1</v>
      </c>
      <c r="H19" s="17">
        <v>0</v>
      </c>
      <c r="I19" s="17">
        <v>0</v>
      </c>
      <c r="J19" s="17" t="s">
        <v>124</v>
      </c>
      <c r="K19" s="17">
        <v>1</v>
      </c>
      <c r="L19" s="17">
        <v>1</v>
      </c>
      <c r="M19" s="17">
        <v>2</v>
      </c>
      <c r="N19" s="17"/>
      <c r="O19" s="17">
        <v>1</v>
      </c>
      <c r="P19" s="17">
        <v>1</v>
      </c>
      <c r="Q19" s="17">
        <v>1</v>
      </c>
      <c r="R19" s="17">
        <v>2</v>
      </c>
      <c r="S19" s="17">
        <v>1</v>
      </c>
      <c r="T19" s="17">
        <v>1</v>
      </c>
      <c r="U19" s="17">
        <v>1</v>
      </c>
      <c r="V19" s="17">
        <v>2</v>
      </c>
      <c r="W19" s="17" t="s">
        <v>125</v>
      </c>
      <c r="X19" s="17">
        <v>1</v>
      </c>
      <c r="Y19" s="17">
        <v>1</v>
      </c>
      <c r="Z19" s="17">
        <v>0</v>
      </c>
      <c r="AA19" s="17">
        <v>0</v>
      </c>
      <c r="AB19" s="17">
        <v>4</v>
      </c>
      <c r="AC19" s="17">
        <v>3</v>
      </c>
      <c r="AD19" s="17">
        <v>2</v>
      </c>
      <c r="AE19" s="17" t="s">
        <v>126</v>
      </c>
      <c r="AF19" s="18"/>
    </row>
    <row r="20" spans="1:32" x14ac:dyDescent="0.35">
      <c r="A20" s="19" t="s">
        <v>136</v>
      </c>
      <c r="B20" s="19" t="s">
        <v>20</v>
      </c>
      <c r="C20" s="19">
        <v>2</v>
      </c>
      <c r="D20" s="19">
        <v>2</v>
      </c>
      <c r="E20" s="19">
        <v>1</v>
      </c>
      <c r="F20" s="19">
        <v>0</v>
      </c>
      <c r="G20" s="19">
        <v>0</v>
      </c>
      <c r="H20" s="19">
        <v>0</v>
      </c>
      <c r="I20" s="19">
        <v>0</v>
      </c>
      <c r="J20" s="19"/>
      <c r="K20" s="19">
        <v>1</v>
      </c>
      <c r="L20" s="19">
        <v>2</v>
      </c>
      <c r="M20" s="19">
        <v>1</v>
      </c>
      <c r="N20" s="19"/>
      <c r="O20" s="19">
        <v>2</v>
      </c>
      <c r="P20" s="19">
        <v>3</v>
      </c>
      <c r="Q20" s="19">
        <v>1</v>
      </c>
      <c r="R20" s="19">
        <v>1</v>
      </c>
      <c r="S20" s="19">
        <v>1</v>
      </c>
      <c r="T20" s="19">
        <v>1</v>
      </c>
      <c r="U20" s="19">
        <v>3</v>
      </c>
      <c r="V20" s="19">
        <v>1</v>
      </c>
      <c r="W20" s="19"/>
      <c r="X20" s="19">
        <v>2</v>
      </c>
      <c r="Y20" s="19">
        <v>3</v>
      </c>
      <c r="Z20" s="19">
        <v>1</v>
      </c>
      <c r="AA20" s="19">
        <v>0</v>
      </c>
      <c r="AB20" s="19">
        <v>4</v>
      </c>
      <c r="AC20" s="19">
        <v>2</v>
      </c>
      <c r="AD20" s="19">
        <v>2</v>
      </c>
      <c r="AE20" s="19"/>
      <c r="AF20" s="20"/>
    </row>
    <row r="21" spans="1:32" x14ac:dyDescent="0.35">
      <c r="A21" s="17" t="s">
        <v>63</v>
      </c>
      <c r="B21" s="17" t="s">
        <v>20</v>
      </c>
      <c r="C21" s="17">
        <v>2</v>
      </c>
      <c r="D21" s="17">
        <v>4</v>
      </c>
      <c r="E21" s="17">
        <v>0</v>
      </c>
      <c r="F21" s="17">
        <v>1</v>
      </c>
      <c r="G21" s="17">
        <v>4</v>
      </c>
      <c r="H21" s="17">
        <v>1</v>
      </c>
      <c r="I21" s="17">
        <v>0</v>
      </c>
      <c r="J21" s="17"/>
      <c r="K21" s="17">
        <v>2</v>
      </c>
      <c r="L21" s="17">
        <v>4</v>
      </c>
      <c r="M21" s="17">
        <v>1</v>
      </c>
      <c r="N21" s="17"/>
      <c r="O21" s="17">
        <v>4</v>
      </c>
      <c r="P21" s="17">
        <v>1</v>
      </c>
      <c r="Q21" s="17">
        <v>1</v>
      </c>
      <c r="R21" s="17">
        <v>4</v>
      </c>
      <c r="S21" s="17">
        <v>4</v>
      </c>
      <c r="T21" s="17">
        <v>2</v>
      </c>
      <c r="U21" s="17">
        <v>5</v>
      </c>
      <c r="V21" s="17">
        <v>1</v>
      </c>
      <c r="W21" s="17"/>
      <c r="X21" s="17">
        <v>4</v>
      </c>
      <c r="Y21" s="17">
        <v>2</v>
      </c>
      <c r="Z21" s="17">
        <v>3</v>
      </c>
      <c r="AA21" s="17">
        <v>3</v>
      </c>
      <c r="AB21" s="17">
        <v>3</v>
      </c>
      <c r="AC21" s="17">
        <v>4</v>
      </c>
      <c r="AD21" s="17">
        <v>4</v>
      </c>
      <c r="AE21" s="17" t="s">
        <v>137</v>
      </c>
      <c r="AF21" s="18"/>
    </row>
    <row r="22" spans="1:32" x14ac:dyDescent="0.35">
      <c r="A22" s="19" t="s">
        <v>45</v>
      </c>
      <c r="B22" s="19" t="s">
        <v>17</v>
      </c>
      <c r="C22" s="19">
        <v>2</v>
      </c>
      <c r="D22" s="19">
        <v>1</v>
      </c>
      <c r="E22" s="19">
        <v>1</v>
      </c>
      <c r="F22" s="19">
        <v>0</v>
      </c>
      <c r="G22" s="19">
        <v>1</v>
      </c>
      <c r="H22" s="19">
        <v>0</v>
      </c>
      <c r="I22" s="19">
        <v>2</v>
      </c>
      <c r="J22" s="19" t="s">
        <v>37</v>
      </c>
      <c r="K22" s="19">
        <v>4</v>
      </c>
      <c r="L22" s="19">
        <v>3</v>
      </c>
      <c r="M22" s="19">
        <v>3</v>
      </c>
      <c r="N22" s="19" t="s">
        <v>104</v>
      </c>
      <c r="O22" s="19">
        <v>1</v>
      </c>
      <c r="P22" s="19">
        <v>1</v>
      </c>
      <c r="Q22" s="19">
        <v>2</v>
      </c>
      <c r="R22" s="19">
        <v>2</v>
      </c>
      <c r="S22" s="19">
        <v>1</v>
      </c>
      <c r="T22" s="19">
        <v>4</v>
      </c>
      <c r="U22" s="19">
        <v>3</v>
      </c>
      <c r="V22" s="19">
        <v>3</v>
      </c>
      <c r="W22" s="19" t="s">
        <v>104</v>
      </c>
      <c r="X22" s="19">
        <v>4</v>
      </c>
      <c r="Y22" s="19">
        <v>1</v>
      </c>
      <c r="Z22" s="19">
        <v>0</v>
      </c>
      <c r="AA22" s="19">
        <v>1</v>
      </c>
      <c r="AB22" s="19">
        <v>3</v>
      </c>
      <c r="AC22" s="19">
        <v>3</v>
      </c>
      <c r="AD22" s="19">
        <v>3</v>
      </c>
      <c r="AE22" s="19" t="s">
        <v>146</v>
      </c>
      <c r="AF22" s="20"/>
    </row>
    <row r="23" spans="1:32" x14ac:dyDescent="0.35">
      <c r="A23" s="15" t="s">
        <v>156</v>
      </c>
      <c r="B23" s="15" t="s">
        <v>20</v>
      </c>
      <c r="C23" s="15">
        <v>2</v>
      </c>
      <c r="D23" s="15">
        <v>2</v>
      </c>
      <c r="E23" s="15">
        <v>0</v>
      </c>
      <c r="F23" s="15">
        <v>2</v>
      </c>
      <c r="G23" s="15">
        <v>2</v>
      </c>
      <c r="H23" s="15">
        <v>0</v>
      </c>
      <c r="I23" s="15">
        <v>0</v>
      </c>
      <c r="J23" s="15"/>
      <c r="K23" s="15">
        <v>3</v>
      </c>
      <c r="L23" s="15">
        <v>2</v>
      </c>
      <c r="M23" s="15">
        <v>1</v>
      </c>
      <c r="N23" s="15"/>
      <c r="O23" s="15">
        <v>4</v>
      </c>
      <c r="P23" s="15">
        <v>1</v>
      </c>
      <c r="Q23" s="15">
        <v>3</v>
      </c>
      <c r="R23" s="15">
        <v>4</v>
      </c>
      <c r="S23" s="15">
        <v>2</v>
      </c>
      <c r="T23" s="15">
        <v>3</v>
      </c>
      <c r="U23" s="15">
        <v>2</v>
      </c>
      <c r="V23" s="15">
        <v>1</v>
      </c>
      <c r="W23" s="15"/>
      <c r="X23" s="15">
        <v>3</v>
      </c>
      <c r="Y23" s="15">
        <v>3</v>
      </c>
      <c r="Z23" s="15">
        <v>3</v>
      </c>
      <c r="AA23" s="15">
        <v>2</v>
      </c>
      <c r="AB23" s="15">
        <v>4</v>
      </c>
      <c r="AC23" s="15">
        <v>4</v>
      </c>
      <c r="AD23" s="15">
        <v>4</v>
      </c>
      <c r="AE23" s="15"/>
      <c r="AF23" s="16"/>
    </row>
    <row r="24" spans="1:32" x14ac:dyDescent="0.35">
      <c r="A24" s="19" t="s">
        <v>99</v>
      </c>
      <c r="B24" s="19" t="s">
        <v>77</v>
      </c>
      <c r="C24" s="19">
        <v>2</v>
      </c>
      <c r="D24" s="19">
        <v>5</v>
      </c>
      <c r="E24" s="19">
        <v>0</v>
      </c>
      <c r="F24" s="19">
        <v>0</v>
      </c>
      <c r="G24" s="19">
        <v>5</v>
      </c>
      <c r="H24" s="19">
        <v>3</v>
      </c>
      <c r="I24" s="19">
        <v>4</v>
      </c>
      <c r="J24" s="19" t="s">
        <v>165</v>
      </c>
      <c r="K24" s="19">
        <v>5</v>
      </c>
      <c r="L24" s="19">
        <v>4</v>
      </c>
      <c r="M24" s="19">
        <v>1.5</v>
      </c>
      <c r="N24" s="19" t="s">
        <v>166</v>
      </c>
      <c r="O24" s="19">
        <v>5</v>
      </c>
      <c r="P24" s="19">
        <v>1</v>
      </c>
      <c r="Q24" s="19">
        <v>1</v>
      </c>
      <c r="R24" s="19">
        <v>5</v>
      </c>
      <c r="S24" s="19">
        <v>4</v>
      </c>
      <c r="T24" s="19">
        <v>4</v>
      </c>
      <c r="U24" s="19">
        <v>4</v>
      </c>
      <c r="V24" s="19">
        <v>1</v>
      </c>
      <c r="W24" s="19" t="s">
        <v>167</v>
      </c>
      <c r="X24" s="19">
        <v>5</v>
      </c>
      <c r="Y24" s="19">
        <v>5</v>
      </c>
      <c r="Z24" s="19">
        <v>4</v>
      </c>
      <c r="AA24" s="19">
        <v>4</v>
      </c>
      <c r="AB24" s="19">
        <v>5</v>
      </c>
      <c r="AC24" s="19">
        <v>5</v>
      </c>
      <c r="AD24" s="19">
        <v>5</v>
      </c>
      <c r="AE24" s="19" t="s">
        <v>168</v>
      </c>
      <c r="AF24" s="20"/>
    </row>
    <row r="25" spans="1:32" x14ac:dyDescent="0.35">
      <c r="A25" s="15" t="s">
        <v>82</v>
      </c>
      <c r="B25" s="15" t="s">
        <v>20</v>
      </c>
      <c r="C25" s="15">
        <v>2</v>
      </c>
      <c r="D25" s="15">
        <v>4</v>
      </c>
      <c r="E25" s="15">
        <v>3</v>
      </c>
      <c r="F25" s="15">
        <v>3</v>
      </c>
      <c r="G25" s="15">
        <v>4</v>
      </c>
      <c r="H25" s="15">
        <v>2</v>
      </c>
      <c r="I25" s="15">
        <v>0</v>
      </c>
      <c r="J25" s="15"/>
      <c r="K25" s="15">
        <v>2</v>
      </c>
      <c r="L25" s="15">
        <v>3</v>
      </c>
      <c r="M25" s="15">
        <v>4</v>
      </c>
      <c r="N25" s="15" t="s">
        <v>170</v>
      </c>
      <c r="O25" s="15">
        <v>3</v>
      </c>
      <c r="P25" s="15">
        <v>4</v>
      </c>
      <c r="Q25" s="15">
        <v>3</v>
      </c>
      <c r="R25" s="15">
        <v>4</v>
      </c>
      <c r="S25" s="15">
        <v>3</v>
      </c>
      <c r="T25" s="15">
        <v>1</v>
      </c>
      <c r="U25" s="15">
        <v>3</v>
      </c>
      <c r="V25" s="15">
        <v>3</v>
      </c>
      <c r="W25" s="15"/>
      <c r="X25" s="15">
        <v>4</v>
      </c>
      <c r="Y25" s="15">
        <v>4</v>
      </c>
      <c r="Z25" s="15">
        <v>3</v>
      </c>
      <c r="AA25" s="15">
        <v>3</v>
      </c>
      <c r="AB25" s="15">
        <v>4</v>
      </c>
      <c r="AC25" s="15">
        <v>4</v>
      </c>
      <c r="AD25" s="15">
        <v>5</v>
      </c>
      <c r="AE25" s="15"/>
      <c r="AF25" s="16"/>
    </row>
    <row r="26" spans="1:32" x14ac:dyDescent="0.35">
      <c r="A26" s="19" t="s">
        <v>173</v>
      </c>
      <c r="B26" s="19" t="s">
        <v>77</v>
      </c>
      <c r="C26" s="19">
        <v>2</v>
      </c>
      <c r="D26" s="19">
        <v>1</v>
      </c>
      <c r="E26" s="19">
        <v>1</v>
      </c>
      <c r="F26" s="19">
        <v>0</v>
      </c>
      <c r="G26" s="19">
        <v>1</v>
      </c>
      <c r="H26" s="19">
        <v>0</v>
      </c>
      <c r="I26" s="19">
        <v>0</v>
      </c>
      <c r="J26" s="19" t="s">
        <v>174</v>
      </c>
      <c r="K26" s="19">
        <v>1</v>
      </c>
      <c r="L26" s="19">
        <v>2</v>
      </c>
      <c r="M26" s="19">
        <v>1</v>
      </c>
      <c r="N26" s="19"/>
      <c r="O26" s="19">
        <v>1</v>
      </c>
      <c r="P26" s="19">
        <v>2</v>
      </c>
      <c r="Q26" s="19">
        <v>1</v>
      </c>
      <c r="R26" s="19">
        <v>1</v>
      </c>
      <c r="S26" s="19">
        <v>1</v>
      </c>
      <c r="T26" s="19">
        <v>1</v>
      </c>
      <c r="U26" s="19">
        <v>2</v>
      </c>
      <c r="V26" s="19">
        <v>2</v>
      </c>
      <c r="W26" s="19" t="s">
        <v>175</v>
      </c>
      <c r="X26" s="19">
        <v>3</v>
      </c>
      <c r="Y26" s="19">
        <v>1</v>
      </c>
      <c r="Z26" s="19">
        <v>0</v>
      </c>
      <c r="AA26" s="19">
        <v>1</v>
      </c>
      <c r="AB26" s="19">
        <v>1</v>
      </c>
      <c r="AC26" s="19">
        <v>3</v>
      </c>
      <c r="AD26" s="19">
        <v>3</v>
      </c>
      <c r="AE26" s="19"/>
      <c r="AF26" s="20"/>
    </row>
    <row r="27" spans="1:32" x14ac:dyDescent="0.35">
      <c r="A27" s="17" t="s">
        <v>184</v>
      </c>
      <c r="B27" s="17" t="s">
        <v>20</v>
      </c>
      <c r="C27" s="17">
        <v>2</v>
      </c>
      <c r="D27" s="17">
        <v>2</v>
      </c>
      <c r="E27" s="17">
        <v>3</v>
      </c>
      <c r="F27" s="17">
        <v>2</v>
      </c>
      <c r="G27" s="17">
        <v>1</v>
      </c>
      <c r="H27" s="17">
        <v>2</v>
      </c>
      <c r="I27" s="17">
        <v>1</v>
      </c>
      <c r="J27" s="17"/>
      <c r="K27" s="17">
        <v>2</v>
      </c>
      <c r="L27" s="17">
        <v>3</v>
      </c>
      <c r="M27" s="17">
        <v>1</v>
      </c>
      <c r="N27" s="17"/>
      <c r="O27" s="17">
        <v>3</v>
      </c>
      <c r="P27" s="17">
        <v>3</v>
      </c>
      <c r="Q27" s="17">
        <v>3</v>
      </c>
      <c r="R27" s="17">
        <v>1</v>
      </c>
      <c r="S27" s="17">
        <v>2</v>
      </c>
      <c r="T27" s="17">
        <v>1</v>
      </c>
      <c r="U27" s="17">
        <v>4</v>
      </c>
      <c r="V27" s="17">
        <v>3</v>
      </c>
      <c r="W27" s="17"/>
      <c r="X27" s="17">
        <v>2</v>
      </c>
      <c r="Y27" s="17">
        <v>3</v>
      </c>
      <c r="Z27" s="17">
        <v>3</v>
      </c>
      <c r="AA27" s="17">
        <v>4</v>
      </c>
      <c r="AB27" s="17">
        <v>2</v>
      </c>
      <c r="AC27" s="17">
        <v>4</v>
      </c>
      <c r="AD27" s="17">
        <v>3</v>
      </c>
      <c r="AE27" s="17"/>
      <c r="AF27" s="18"/>
    </row>
    <row r="28" spans="1:32" x14ac:dyDescent="0.35">
      <c r="A28" s="19" t="s">
        <v>143</v>
      </c>
      <c r="B28" s="19" t="s">
        <v>77</v>
      </c>
      <c r="C28" s="19">
        <v>2</v>
      </c>
      <c r="D28" s="19">
        <v>2</v>
      </c>
      <c r="E28" s="19">
        <v>1</v>
      </c>
      <c r="F28" s="19">
        <v>0</v>
      </c>
      <c r="G28" s="19">
        <v>3</v>
      </c>
      <c r="H28" s="19">
        <v>0</v>
      </c>
      <c r="I28" s="19">
        <v>0</v>
      </c>
      <c r="J28" s="19"/>
      <c r="K28" s="19">
        <v>2</v>
      </c>
      <c r="L28" s="19">
        <v>1</v>
      </c>
      <c r="M28" s="19">
        <v>1</v>
      </c>
      <c r="N28" s="19"/>
      <c r="O28" s="19">
        <v>1</v>
      </c>
      <c r="P28" s="19">
        <v>2</v>
      </c>
      <c r="Q28" s="19">
        <v>1</v>
      </c>
      <c r="R28" s="19">
        <v>3</v>
      </c>
      <c r="S28" s="19">
        <v>1</v>
      </c>
      <c r="T28" s="19">
        <v>2</v>
      </c>
      <c r="U28" s="19">
        <v>1</v>
      </c>
      <c r="V28" s="19">
        <v>1</v>
      </c>
      <c r="W28" s="19"/>
      <c r="X28" s="19">
        <v>3</v>
      </c>
      <c r="Y28" s="19">
        <v>3</v>
      </c>
      <c r="Z28" s="19">
        <v>1</v>
      </c>
      <c r="AA28" s="19">
        <v>1</v>
      </c>
      <c r="AB28" s="19">
        <v>2</v>
      </c>
      <c r="AC28" s="19">
        <v>3</v>
      </c>
      <c r="AD28" s="19">
        <v>3</v>
      </c>
      <c r="AE28" s="19" t="s">
        <v>190</v>
      </c>
      <c r="AF28" s="20" t="s">
        <v>191</v>
      </c>
    </row>
    <row r="29" spans="1:32" x14ac:dyDescent="0.35">
      <c r="A29" s="15" t="s">
        <v>127</v>
      </c>
      <c r="B29" s="15" t="s">
        <v>20</v>
      </c>
      <c r="C29" s="15">
        <v>2</v>
      </c>
      <c r="D29" s="15">
        <v>4</v>
      </c>
      <c r="E29" s="15">
        <v>2</v>
      </c>
      <c r="F29" s="15">
        <v>1</v>
      </c>
      <c r="G29" s="15">
        <v>3</v>
      </c>
      <c r="H29" s="15">
        <v>3</v>
      </c>
      <c r="I29" s="15">
        <v>4</v>
      </c>
      <c r="J29" s="15" t="s">
        <v>192</v>
      </c>
      <c r="K29" s="15">
        <v>4</v>
      </c>
      <c r="L29" s="15">
        <v>3</v>
      </c>
      <c r="M29" s="15">
        <v>3</v>
      </c>
      <c r="N29" s="15" t="s">
        <v>193</v>
      </c>
      <c r="O29" s="15">
        <v>4</v>
      </c>
      <c r="P29" s="15">
        <v>2</v>
      </c>
      <c r="Q29" s="15">
        <v>4</v>
      </c>
      <c r="R29" s="15">
        <v>4</v>
      </c>
      <c r="S29" s="15">
        <v>3</v>
      </c>
      <c r="T29" s="15">
        <v>3</v>
      </c>
      <c r="U29" s="15">
        <v>3</v>
      </c>
      <c r="V29" s="15">
        <v>3</v>
      </c>
      <c r="W29" s="15"/>
      <c r="X29" s="15">
        <v>3</v>
      </c>
      <c r="Y29" s="15">
        <v>4</v>
      </c>
      <c r="Z29" s="15">
        <v>3</v>
      </c>
      <c r="AA29" s="15">
        <v>3</v>
      </c>
      <c r="AB29" s="15">
        <v>3</v>
      </c>
      <c r="AC29" s="15">
        <v>3</v>
      </c>
      <c r="AD29" s="15">
        <v>3</v>
      </c>
      <c r="AE29" s="15" t="s">
        <v>194</v>
      </c>
      <c r="AF29" s="16" t="s">
        <v>195</v>
      </c>
    </row>
    <row r="30" spans="1:32" x14ac:dyDescent="0.35">
      <c r="A30" s="19" t="s">
        <v>176</v>
      </c>
      <c r="B30" s="19" t="s">
        <v>20</v>
      </c>
      <c r="C30" s="19">
        <v>2</v>
      </c>
      <c r="D30" s="19">
        <v>2</v>
      </c>
      <c r="E30" s="19">
        <v>1.5</v>
      </c>
      <c r="F30" s="19">
        <v>1</v>
      </c>
      <c r="G30" s="19">
        <v>1</v>
      </c>
      <c r="H30" s="19">
        <v>0</v>
      </c>
      <c r="I30" s="19">
        <v>0</v>
      </c>
      <c r="J30" s="19" t="s">
        <v>199</v>
      </c>
      <c r="K30" s="19">
        <v>1</v>
      </c>
      <c r="L30" s="19">
        <v>1</v>
      </c>
      <c r="M30" s="19">
        <v>2</v>
      </c>
      <c r="N30" s="19" t="s">
        <v>179</v>
      </c>
      <c r="O30" s="19">
        <v>1</v>
      </c>
      <c r="P30" s="19">
        <v>1</v>
      </c>
      <c r="Q30" s="19">
        <v>2</v>
      </c>
      <c r="R30" s="19">
        <v>1</v>
      </c>
      <c r="S30" s="19">
        <v>1</v>
      </c>
      <c r="T30" s="19">
        <v>1</v>
      </c>
      <c r="U30" s="19">
        <v>1</v>
      </c>
      <c r="V30" s="19">
        <v>2</v>
      </c>
      <c r="W30" s="19" t="s">
        <v>200</v>
      </c>
      <c r="X30" s="19">
        <v>4</v>
      </c>
      <c r="Y30" s="19">
        <v>2</v>
      </c>
      <c r="Z30" s="19">
        <v>0</v>
      </c>
      <c r="AA30" s="19">
        <v>1</v>
      </c>
      <c r="AB30" s="19">
        <v>5</v>
      </c>
      <c r="AC30" s="19">
        <v>4</v>
      </c>
      <c r="AD30" s="19">
        <v>4</v>
      </c>
      <c r="AE30" s="19"/>
      <c r="AF30" s="20"/>
    </row>
    <row r="31" spans="1:32" x14ac:dyDescent="0.35">
      <c r="A31" s="15" t="s">
        <v>159</v>
      </c>
      <c r="B31" s="15" t="s">
        <v>17</v>
      </c>
      <c r="C31" s="15">
        <v>2</v>
      </c>
      <c r="D31" s="15">
        <v>2</v>
      </c>
      <c r="E31" s="15">
        <v>0</v>
      </c>
      <c r="F31" s="15">
        <v>1</v>
      </c>
      <c r="G31" s="15">
        <v>1</v>
      </c>
      <c r="H31" s="15">
        <v>1</v>
      </c>
      <c r="I31" s="15">
        <v>0</v>
      </c>
      <c r="J31" s="15"/>
      <c r="K31" s="15">
        <v>2</v>
      </c>
      <c r="L31" s="15">
        <v>1</v>
      </c>
      <c r="M31" s="15">
        <v>2</v>
      </c>
      <c r="N31" s="15"/>
      <c r="O31" s="15">
        <v>3</v>
      </c>
      <c r="P31" s="15">
        <v>1</v>
      </c>
      <c r="Q31" s="15">
        <v>2</v>
      </c>
      <c r="R31" s="15">
        <v>2</v>
      </c>
      <c r="S31" s="15">
        <v>2</v>
      </c>
      <c r="T31" s="15">
        <v>2</v>
      </c>
      <c r="U31" s="15">
        <v>1</v>
      </c>
      <c r="V31" s="15">
        <v>2</v>
      </c>
      <c r="W31" s="15"/>
      <c r="X31" s="15">
        <v>2</v>
      </c>
      <c r="Y31" s="15">
        <v>3</v>
      </c>
      <c r="Z31" s="15">
        <v>2</v>
      </c>
      <c r="AA31" s="15">
        <v>3</v>
      </c>
      <c r="AB31" s="15">
        <v>3</v>
      </c>
      <c r="AC31" s="15">
        <v>2</v>
      </c>
      <c r="AD31" s="15">
        <v>2</v>
      </c>
      <c r="AE31" s="15"/>
      <c r="AF31" s="16" t="s">
        <v>202</v>
      </c>
    </row>
    <row r="32" spans="1:32" s="29" customFormat="1" ht="13.15" x14ac:dyDescent="0.4">
      <c r="A32" s="28" t="s">
        <v>295</v>
      </c>
      <c r="D32" s="30">
        <f t="shared" ref="D32:I32" si="0">AVERAGE(D2:D31)</f>
        <v>2.7</v>
      </c>
      <c r="E32" s="30">
        <f t="shared" si="0"/>
        <v>1.1333333333333333</v>
      </c>
      <c r="F32" s="30">
        <f t="shared" si="0"/>
        <v>1.3333333333333333</v>
      </c>
      <c r="G32" s="30">
        <f t="shared" si="0"/>
        <v>2.15</v>
      </c>
      <c r="H32" s="30">
        <f t="shared" si="0"/>
        <v>1.1166666666666667</v>
      </c>
      <c r="I32" s="30">
        <f t="shared" si="0"/>
        <v>0.56666666666666665</v>
      </c>
      <c r="J32" s="30"/>
      <c r="K32" s="30">
        <f>AVERAGE(K2:K31)</f>
        <v>2.2666666666666666</v>
      </c>
      <c r="L32" s="30">
        <f>AVERAGE(L2:L31)</f>
        <v>2.5333333333333332</v>
      </c>
      <c r="M32" s="30">
        <f>AVERAGE(M2:M31)</f>
        <v>1.8833333333333333</v>
      </c>
      <c r="N32" s="30"/>
      <c r="O32" s="30">
        <f t="shared" ref="O32:V32" si="1">AVERAGE(O2:O31)</f>
        <v>2.7333333333333334</v>
      </c>
      <c r="P32" s="30">
        <f t="shared" si="1"/>
        <v>1.9</v>
      </c>
      <c r="Q32" s="30">
        <f t="shared" si="1"/>
        <v>2</v>
      </c>
      <c r="R32" s="30">
        <f t="shared" si="1"/>
        <v>2.7666666666666666</v>
      </c>
      <c r="S32" s="30">
        <f t="shared" si="1"/>
        <v>2.1666666666666665</v>
      </c>
      <c r="T32" s="30">
        <f t="shared" si="1"/>
        <v>1.9</v>
      </c>
      <c r="U32" s="30">
        <f t="shared" si="1"/>
        <v>2.5333333333333332</v>
      </c>
      <c r="V32" s="30">
        <f t="shared" si="1"/>
        <v>2.0333333333333332</v>
      </c>
      <c r="W32" s="30"/>
      <c r="X32" s="30">
        <f t="shared" ref="X32:AD32" si="2">AVERAGE(X2:X31)</f>
        <v>3.1333333333333333</v>
      </c>
      <c r="Y32" s="30">
        <f t="shared" si="2"/>
        <v>2.7333333333333334</v>
      </c>
      <c r="Z32" s="30">
        <f t="shared" si="2"/>
        <v>2</v>
      </c>
      <c r="AA32" s="30">
        <f t="shared" si="2"/>
        <v>1.8666666666666667</v>
      </c>
      <c r="AB32" s="30">
        <f t="shared" si="2"/>
        <v>3.0333333333333332</v>
      </c>
      <c r="AC32" s="30">
        <f t="shared" si="2"/>
        <v>3.1333333333333333</v>
      </c>
      <c r="AD32" s="30">
        <f t="shared" si="2"/>
        <v>3.1666666666666665</v>
      </c>
    </row>
    <row r="34" spans="1:32" ht="13.15" x14ac:dyDescent="0.35">
      <c r="A34" s="24" t="s">
        <v>77</v>
      </c>
    </row>
    <row r="35" spans="1:32" ht="51" x14ac:dyDescent="0.35">
      <c r="A35" s="10" t="s">
        <v>1</v>
      </c>
      <c r="B35" s="10" t="s">
        <v>2</v>
      </c>
      <c r="C35" s="10" t="s">
        <v>3</v>
      </c>
      <c r="D35" s="21" t="s">
        <v>287</v>
      </c>
      <c r="E35" s="21" t="s">
        <v>292</v>
      </c>
      <c r="F35" s="21" t="s">
        <v>293</v>
      </c>
      <c r="G35" s="21" t="s">
        <v>47</v>
      </c>
      <c r="H35" s="22" t="s">
        <v>288</v>
      </c>
      <c r="I35" s="22" t="s">
        <v>289</v>
      </c>
      <c r="J35" s="10" t="s">
        <v>4</v>
      </c>
      <c r="K35" s="22" t="s">
        <v>37</v>
      </c>
      <c r="L35" s="22" t="s">
        <v>290</v>
      </c>
      <c r="M35" s="22" t="s">
        <v>291</v>
      </c>
      <c r="N35" s="10" t="s">
        <v>5</v>
      </c>
      <c r="O35" s="21" t="s">
        <v>294</v>
      </c>
      <c r="P35" s="21" t="s">
        <v>292</v>
      </c>
      <c r="Q35" s="21" t="s">
        <v>293</v>
      </c>
      <c r="R35" s="21" t="s">
        <v>47</v>
      </c>
      <c r="S35" s="22" t="s">
        <v>288</v>
      </c>
      <c r="T35" s="22" t="s">
        <v>37</v>
      </c>
      <c r="U35" s="22" t="s">
        <v>290</v>
      </c>
      <c r="V35" s="22" t="s">
        <v>291</v>
      </c>
      <c r="W35" s="10" t="s">
        <v>6</v>
      </c>
      <c r="X35" s="11" t="s">
        <v>7</v>
      </c>
      <c r="Y35" s="10" t="s">
        <v>8</v>
      </c>
      <c r="Z35" s="10" t="s">
        <v>9</v>
      </c>
      <c r="AA35" s="10" t="s">
        <v>10</v>
      </c>
      <c r="AB35" s="10" t="s">
        <v>11</v>
      </c>
      <c r="AC35" s="10" t="s">
        <v>12</v>
      </c>
      <c r="AD35" s="10" t="s">
        <v>13</v>
      </c>
      <c r="AE35" s="11" t="s">
        <v>14</v>
      </c>
      <c r="AF35" s="12" t="s">
        <v>15</v>
      </c>
    </row>
    <row r="36" spans="1:32" x14ac:dyDescent="0.35">
      <c r="A36" s="17" t="s">
        <v>76</v>
      </c>
      <c r="B36" s="17" t="s">
        <v>77</v>
      </c>
      <c r="C36" s="17">
        <v>2</v>
      </c>
      <c r="D36" s="17">
        <v>1</v>
      </c>
      <c r="E36" s="17">
        <v>1</v>
      </c>
      <c r="F36" s="17">
        <v>0</v>
      </c>
      <c r="G36" s="17">
        <v>1</v>
      </c>
      <c r="H36" s="17">
        <v>0</v>
      </c>
      <c r="I36" s="17">
        <v>0</v>
      </c>
      <c r="J36" s="17" t="s">
        <v>124</v>
      </c>
      <c r="K36" s="17">
        <v>1</v>
      </c>
      <c r="L36" s="17">
        <v>1</v>
      </c>
      <c r="M36" s="17">
        <v>2</v>
      </c>
      <c r="N36" s="17"/>
      <c r="O36" s="17">
        <v>1</v>
      </c>
      <c r="P36" s="17">
        <v>1</v>
      </c>
      <c r="Q36" s="17">
        <v>1</v>
      </c>
      <c r="R36" s="17">
        <v>2</v>
      </c>
      <c r="S36" s="17">
        <v>1</v>
      </c>
      <c r="T36" s="17">
        <v>1</v>
      </c>
      <c r="U36" s="17">
        <v>1</v>
      </c>
      <c r="V36" s="17">
        <v>2</v>
      </c>
      <c r="W36" s="17" t="s">
        <v>125</v>
      </c>
      <c r="X36" s="17">
        <v>1</v>
      </c>
      <c r="Y36" s="17">
        <v>1</v>
      </c>
      <c r="Z36" s="17">
        <v>0</v>
      </c>
      <c r="AA36" s="17">
        <v>0</v>
      </c>
      <c r="AB36" s="17">
        <v>4</v>
      </c>
      <c r="AC36" s="17">
        <v>3</v>
      </c>
      <c r="AD36" s="17">
        <v>2</v>
      </c>
      <c r="AE36" s="17" t="s">
        <v>126</v>
      </c>
      <c r="AF36" s="18"/>
    </row>
    <row r="37" spans="1:32" x14ac:dyDescent="0.35">
      <c r="A37" s="19" t="s">
        <v>99</v>
      </c>
      <c r="B37" s="19" t="s">
        <v>77</v>
      </c>
      <c r="C37" s="19">
        <v>2</v>
      </c>
      <c r="D37" s="19">
        <v>5</v>
      </c>
      <c r="E37" s="19">
        <v>0</v>
      </c>
      <c r="F37" s="19">
        <v>0</v>
      </c>
      <c r="G37" s="19">
        <v>5</v>
      </c>
      <c r="H37" s="19">
        <v>3</v>
      </c>
      <c r="I37" s="19">
        <v>4</v>
      </c>
      <c r="J37" s="19" t="s">
        <v>165</v>
      </c>
      <c r="K37" s="19">
        <v>5</v>
      </c>
      <c r="L37" s="19">
        <v>4</v>
      </c>
      <c r="M37" s="19">
        <v>1.5</v>
      </c>
      <c r="N37" s="19" t="s">
        <v>166</v>
      </c>
      <c r="O37" s="19">
        <v>5</v>
      </c>
      <c r="P37" s="19">
        <v>1</v>
      </c>
      <c r="Q37" s="19">
        <v>1</v>
      </c>
      <c r="R37" s="19">
        <v>5</v>
      </c>
      <c r="S37" s="19">
        <v>4</v>
      </c>
      <c r="T37" s="19">
        <v>4</v>
      </c>
      <c r="U37" s="19">
        <v>4</v>
      </c>
      <c r="V37" s="19">
        <v>1</v>
      </c>
      <c r="W37" s="19" t="s">
        <v>167</v>
      </c>
      <c r="X37" s="19">
        <v>5</v>
      </c>
      <c r="Y37" s="19">
        <v>5</v>
      </c>
      <c r="Z37" s="19">
        <v>4</v>
      </c>
      <c r="AA37" s="19">
        <v>4</v>
      </c>
      <c r="AB37" s="19">
        <v>5</v>
      </c>
      <c r="AC37" s="19">
        <v>5</v>
      </c>
      <c r="AD37" s="19">
        <v>5</v>
      </c>
      <c r="AE37" s="19" t="s">
        <v>168</v>
      </c>
      <c r="AF37" s="20"/>
    </row>
    <row r="38" spans="1:32" x14ac:dyDescent="0.35">
      <c r="A38" s="19" t="s">
        <v>173</v>
      </c>
      <c r="B38" s="19" t="s">
        <v>77</v>
      </c>
      <c r="C38" s="19">
        <v>2</v>
      </c>
      <c r="D38" s="19">
        <v>1</v>
      </c>
      <c r="E38" s="19">
        <v>1</v>
      </c>
      <c r="F38" s="19">
        <v>0</v>
      </c>
      <c r="G38" s="19">
        <v>1</v>
      </c>
      <c r="H38" s="19">
        <v>0</v>
      </c>
      <c r="I38" s="19">
        <v>0</v>
      </c>
      <c r="J38" s="19" t="s">
        <v>174</v>
      </c>
      <c r="K38" s="19">
        <v>1</v>
      </c>
      <c r="L38" s="19">
        <v>2</v>
      </c>
      <c r="M38" s="19">
        <v>1</v>
      </c>
      <c r="N38" s="19"/>
      <c r="O38" s="19">
        <v>1</v>
      </c>
      <c r="P38" s="19">
        <v>2</v>
      </c>
      <c r="Q38" s="19">
        <v>1</v>
      </c>
      <c r="R38" s="19">
        <v>1</v>
      </c>
      <c r="S38" s="19">
        <v>1</v>
      </c>
      <c r="T38" s="19">
        <v>1</v>
      </c>
      <c r="U38" s="19">
        <v>2</v>
      </c>
      <c r="V38" s="19">
        <v>2</v>
      </c>
      <c r="W38" s="19" t="s">
        <v>175</v>
      </c>
      <c r="X38" s="19">
        <v>3</v>
      </c>
      <c r="Y38" s="19">
        <v>1</v>
      </c>
      <c r="Z38" s="19">
        <v>0</v>
      </c>
      <c r="AA38" s="19">
        <v>1</v>
      </c>
      <c r="AB38" s="19">
        <v>1</v>
      </c>
      <c r="AC38" s="19">
        <v>3</v>
      </c>
      <c r="AD38" s="19">
        <v>3</v>
      </c>
      <c r="AE38" s="19"/>
      <c r="AF38" s="20"/>
    </row>
    <row r="39" spans="1:32" x14ac:dyDescent="0.35">
      <c r="A39" s="19" t="s">
        <v>143</v>
      </c>
      <c r="B39" s="19" t="s">
        <v>77</v>
      </c>
      <c r="C39" s="19">
        <v>2</v>
      </c>
      <c r="D39" s="19">
        <v>2</v>
      </c>
      <c r="E39" s="19">
        <v>1</v>
      </c>
      <c r="F39" s="19">
        <v>0</v>
      </c>
      <c r="G39" s="19">
        <v>3</v>
      </c>
      <c r="H39" s="19">
        <v>0</v>
      </c>
      <c r="I39" s="19">
        <v>0</v>
      </c>
      <c r="J39" s="19"/>
      <c r="K39" s="19">
        <v>2</v>
      </c>
      <c r="L39" s="19">
        <v>1</v>
      </c>
      <c r="M39" s="19">
        <v>1</v>
      </c>
      <c r="N39" s="19"/>
      <c r="O39" s="19">
        <v>1</v>
      </c>
      <c r="P39" s="19">
        <v>2</v>
      </c>
      <c r="Q39" s="19">
        <v>1</v>
      </c>
      <c r="R39" s="19">
        <v>3</v>
      </c>
      <c r="S39" s="19">
        <v>1</v>
      </c>
      <c r="T39" s="19">
        <v>2</v>
      </c>
      <c r="U39" s="19">
        <v>1</v>
      </c>
      <c r="V39" s="19">
        <v>1</v>
      </c>
      <c r="W39" s="19"/>
      <c r="X39" s="19">
        <v>3</v>
      </c>
      <c r="Y39" s="19">
        <v>3</v>
      </c>
      <c r="Z39" s="19">
        <v>1</v>
      </c>
      <c r="AA39" s="19">
        <v>1</v>
      </c>
      <c r="AB39" s="19">
        <v>2</v>
      </c>
      <c r="AC39" s="19">
        <v>3</v>
      </c>
      <c r="AD39" s="19">
        <v>3</v>
      </c>
      <c r="AE39" s="19" t="s">
        <v>190</v>
      </c>
      <c r="AF39" s="20" t="s">
        <v>191</v>
      </c>
    </row>
    <row r="40" spans="1:32" s="29" customFormat="1" ht="13.15" x14ac:dyDescent="0.4">
      <c r="A40" s="31" t="s">
        <v>295</v>
      </c>
      <c r="D40" s="30">
        <f>AVERAGE(D36:D39)</f>
        <v>2.25</v>
      </c>
      <c r="E40" s="30">
        <f t="shared" ref="E40:AD40" si="3">AVERAGE(E36:E39)</f>
        <v>0.75</v>
      </c>
      <c r="F40" s="30">
        <f t="shared" si="3"/>
        <v>0</v>
      </c>
      <c r="G40" s="30">
        <f t="shared" si="3"/>
        <v>2.5</v>
      </c>
      <c r="H40" s="30">
        <f t="shared" si="3"/>
        <v>0.75</v>
      </c>
      <c r="I40" s="30">
        <f t="shared" si="3"/>
        <v>1</v>
      </c>
      <c r="J40" s="30"/>
      <c r="K40" s="30">
        <f t="shared" si="3"/>
        <v>2.25</v>
      </c>
      <c r="L40" s="30">
        <f t="shared" si="3"/>
        <v>2</v>
      </c>
      <c r="M40" s="30">
        <f t="shared" si="3"/>
        <v>1.375</v>
      </c>
      <c r="N40" s="30"/>
      <c r="O40" s="30">
        <f t="shared" si="3"/>
        <v>2</v>
      </c>
      <c r="P40" s="30">
        <f t="shared" si="3"/>
        <v>1.5</v>
      </c>
      <c r="Q40" s="30">
        <f t="shared" si="3"/>
        <v>1</v>
      </c>
      <c r="R40" s="30">
        <f t="shared" si="3"/>
        <v>2.75</v>
      </c>
      <c r="S40" s="30">
        <f t="shared" si="3"/>
        <v>1.75</v>
      </c>
      <c r="T40" s="30">
        <f t="shared" si="3"/>
        <v>2</v>
      </c>
      <c r="U40" s="30">
        <f t="shared" si="3"/>
        <v>2</v>
      </c>
      <c r="V40" s="30">
        <f t="shared" si="3"/>
        <v>1.5</v>
      </c>
      <c r="W40" s="30"/>
      <c r="X40" s="30">
        <f t="shared" si="3"/>
        <v>3</v>
      </c>
      <c r="Y40" s="30">
        <f t="shared" si="3"/>
        <v>2.5</v>
      </c>
      <c r="Z40" s="30">
        <f t="shared" si="3"/>
        <v>1.25</v>
      </c>
      <c r="AA40" s="30">
        <f t="shared" si="3"/>
        <v>1.5</v>
      </c>
      <c r="AB40" s="30">
        <f t="shared" si="3"/>
        <v>3</v>
      </c>
      <c r="AC40" s="30">
        <f t="shared" si="3"/>
        <v>3.5</v>
      </c>
      <c r="AD40" s="30">
        <f t="shared" si="3"/>
        <v>3.25</v>
      </c>
    </row>
    <row r="42" spans="1:32" ht="13.15" x14ac:dyDescent="0.35">
      <c r="A42" s="25" t="s">
        <v>17</v>
      </c>
    </row>
    <row r="43" spans="1:32" ht="51" x14ac:dyDescent="0.35">
      <c r="A43" s="10" t="s">
        <v>1</v>
      </c>
      <c r="B43" s="10" t="s">
        <v>2</v>
      </c>
      <c r="C43" s="10" t="s">
        <v>3</v>
      </c>
      <c r="D43" s="21" t="s">
        <v>287</v>
      </c>
      <c r="E43" s="21" t="s">
        <v>292</v>
      </c>
      <c r="F43" s="21" t="s">
        <v>293</v>
      </c>
      <c r="G43" s="21" t="s">
        <v>47</v>
      </c>
      <c r="H43" s="22" t="s">
        <v>288</v>
      </c>
      <c r="I43" s="22" t="s">
        <v>289</v>
      </c>
      <c r="J43" s="10" t="s">
        <v>4</v>
      </c>
      <c r="K43" s="22" t="s">
        <v>37</v>
      </c>
      <c r="L43" s="22" t="s">
        <v>290</v>
      </c>
      <c r="M43" s="22" t="s">
        <v>291</v>
      </c>
      <c r="N43" s="10" t="s">
        <v>5</v>
      </c>
      <c r="O43" s="21" t="s">
        <v>294</v>
      </c>
      <c r="P43" s="21" t="s">
        <v>292</v>
      </c>
      <c r="Q43" s="21" t="s">
        <v>293</v>
      </c>
      <c r="R43" s="21" t="s">
        <v>47</v>
      </c>
      <c r="S43" s="22" t="s">
        <v>288</v>
      </c>
      <c r="T43" s="22" t="s">
        <v>37</v>
      </c>
      <c r="U43" s="22" t="s">
        <v>290</v>
      </c>
      <c r="V43" s="22" t="s">
        <v>291</v>
      </c>
      <c r="W43" s="10" t="s">
        <v>6</v>
      </c>
      <c r="X43" s="11" t="s">
        <v>7</v>
      </c>
      <c r="Y43" s="10" t="s">
        <v>8</v>
      </c>
      <c r="Z43" s="10" t="s">
        <v>9</v>
      </c>
      <c r="AA43" s="10" t="s">
        <v>10</v>
      </c>
      <c r="AB43" s="10" t="s">
        <v>11</v>
      </c>
      <c r="AC43" s="10" t="s">
        <v>12</v>
      </c>
      <c r="AD43" s="10" t="s">
        <v>13</v>
      </c>
      <c r="AE43" s="11" t="s">
        <v>14</v>
      </c>
      <c r="AF43" s="12" t="s">
        <v>15</v>
      </c>
    </row>
    <row r="44" spans="1:32" x14ac:dyDescent="0.35">
      <c r="A44" s="15" t="s">
        <v>16</v>
      </c>
      <c r="B44" s="15" t="s">
        <v>17</v>
      </c>
      <c r="C44" s="15">
        <v>2</v>
      </c>
      <c r="D44" s="15">
        <v>1</v>
      </c>
      <c r="E44" s="15">
        <v>0</v>
      </c>
      <c r="F44" s="15">
        <v>0</v>
      </c>
      <c r="G44" s="15">
        <v>0</v>
      </c>
      <c r="H44" s="15">
        <v>0</v>
      </c>
      <c r="I44" s="15">
        <v>0</v>
      </c>
      <c r="J44" s="15"/>
      <c r="K44" s="15">
        <v>2</v>
      </c>
      <c r="L44" s="15">
        <v>4</v>
      </c>
      <c r="M44" s="15">
        <v>1</v>
      </c>
      <c r="N44" s="15"/>
      <c r="O44" s="15">
        <v>4</v>
      </c>
      <c r="P44" s="15">
        <v>1</v>
      </c>
      <c r="Q44" s="15">
        <v>4</v>
      </c>
      <c r="R44" s="15">
        <v>3</v>
      </c>
      <c r="S44" s="15">
        <v>1</v>
      </c>
      <c r="T44" s="15">
        <v>1</v>
      </c>
      <c r="U44" s="15">
        <v>4</v>
      </c>
      <c r="V44" s="15">
        <v>3</v>
      </c>
      <c r="W44" s="15"/>
      <c r="X44" s="15">
        <v>4</v>
      </c>
      <c r="Y44" s="15">
        <v>4</v>
      </c>
      <c r="Z44" s="15">
        <v>3</v>
      </c>
      <c r="AA44" s="15">
        <v>2</v>
      </c>
      <c r="AB44" s="15">
        <v>2</v>
      </c>
      <c r="AC44" s="15">
        <v>2</v>
      </c>
      <c r="AD44" s="15">
        <v>3</v>
      </c>
      <c r="AE44" s="15"/>
      <c r="AF44" s="16"/>
    </row>
    <row r="45" spans="1:32" x14ac:dyDescent="0.35">
      <c r="A45" s="19" t="s">
        <v>75</v>
      </c>
      <c r="B45" s="19" t="s">
        <v>17</v>
      </c>
      <c r="C45" s="19">
        <v>2</v>
      </c>
      <c r="D45" s="19">
        <v>1</v>
      </c>
      <c r="E45" s="19">
        <v>0</v>
      </c>
      <c r="F45" s="19">
        <v>0</v>
      </c>
      <c r="G45" s="19">
        <v>1</v>
      </c>
      <c r="H45" s="19">
        <v>0</v>
      </c>
      <c r="I45" s="19">
        <v>0</v>
      </c>
      <c r="J45" s="19"/>
      <c r="K45" s="19">
        <v>2</v>
      </c>
      <c r="L45" s="19">
        <v>1</v>
      </c>
      <c r="M45" s="19">
        <v>2</v>
      </c>
      <c r="N45" s="19"/>
      <c r="O45" s="19">
        <v>2</v>
      </c>
      <c r="P45" s="19">
        <v>1</v>
      </c>
      <c r="Q45" s="19">
        <v>1</v>
      </c>
      <c r="R45" s="19">
        <v>3</v>
      </c>
      <c r="S45" s="19">
        <v>2</v>
      </c>
      <c r="T45" s="19">
        <v>3</v>
      </c>
      <c r="U45" s="19">
        <v>2</v>
      </c>
      <c r="V45" s="19">
        <v>3</v>
      </c>
      <c r="W45" s="19"/>
      <c r="X45" s="19">
        <v>3</v>
      </c>
      <c r="Y45" s="19">
        <v>2</v>
      </c>
      <c r="Z45" s="19">
        <v>3</v>
      </c>
      <c r="AA45" s="19">
        <v>2</v>
      </c>
      <c r="AB45" s="19">
        <v>3</v>
      </c>
      <c r="AC45" s="19">
        <v>3</v>
      </c>
      <c r="AD45" s="19">
        <v>3</v>
      </c>
      <c r="AE45" s="19"/>
      <c r="AF45" s="20"/>
    </row>
    <row r="46" spans="1:32" x14ac:dyDescent="0.35">
      <c r="A46" s="19" t="s">
        <v>55</v>
      </c>
      <c r="B46" s="19" t="s">
        <v>17</v>
      </c>
      <c r="C46" s="19">
        <v>2</v>
      </c>
      <c r="D46" s="19">
        <v>2.5</v>
      </c>
      <c r="E46" s="19">
        <v>1.5</v>
      </c>
      <c r="F46" s="19">
        <v>1</v>
      </c>
      <c r="G46" s="19">
        <v>0</v>
      </c>
      <c r="H46" s="19">
        <v>0</v>
      </c>
      <c r="I46" s="19">
        <v>0</v>
      </c>
      <c r="J46" s="19" t="s">
        <v>113</v>
      </c>
      <c r="K46" s="19">
        <v>3</v>
      </c>
      <c r="L46" s="19">
        <v>2</v>
      </c>
      <c r="M46" s="19">
        <v>2</v>
      </c>
      <c r="N46" s="19"/>
      <c r="O46" s="19">
        <v>1</v>
      </c>
      <c r="P46" s="19">
        <v>1</v>
      </c>
      <c r="Q46" s="19">
        <v>1</v>
      </c>
      <c r="R46" s="19">
        <v>1</v>
      </c>
      <c r="S46" s="19">
        <v>1</v>
      </c>
      <c r="T46" s="19">
        <v>2</v>
      </c>
      <c r="U46" s="19">
        <v>2</v>
      </c>
      <c r="V46" s="19">
        <v>2</v>
      </c>
      <c r="W46" s="19" t="s">
        <v>114</v>
      </c>
      <c r="X46" s="19">
        <v>2</v>
      </c>
      <c r="Y46" s="19">
        <v>1</v>
      </c>
      <c r="Z46" s="19">
        <v>2</v>
      </c>
      <c r="AA46" s="19">
        <v>2</v>
      </c>
      <c r="AB46" s="19">
        <v>3</v>
      </c>
      <c r="AC46" s="19">
        <v>3</v>
      </c>
      <c r="AD46" s="19">
        <v>2</v>
      </c>
      <c r="AE46" s="19"/>
      <c r="AF46" s="20"/>
    </row>
    <row r="47" spans="1:32" x14ac:dyDescent="0.35">
      <c r="A47" s="17" t="s">
        <v>115</v>
      </c>
      <c r="B47" s="17" t="s">
        <v>17</v>
      </c>
      <c r="C47" s="17">
        <v>2</v>
      </c>
      <c r="D47" s="17">
        <v>3</v>
      </c>
      <c r="E47" s="17">
        <v>2</v>
      </c>
      <c r="F47" s="17">
        <v>1</v>
      </c>
      <c r="G47" s="17">
        <v>2</v>
      </c>
      <c r="H47" s="17">
        <v>0</v>
      </c>
      <c r="I47" s="17">
        <v>0</v>
      </c>
      <c r="J47" s="17"/>
      <c r="K47" s="17">
        <v>4</v>
      </c>
      <c r="L47" s="17">
        <v>4</v>
      </c>
      <c r="M47" s="17">
        <v>2</v>
      </c>
      <c r="N47" s="17"/>
      <c r="O47" s="17">
        <v>4</v>
      </c>
      <c r="P47" s="17">
        <v>4</v>
      </c>
      <c r="Q47" s="17">
        <v>3</v>
      </c>
      <c r="R47" s="17">
        <v>4</v>
      </c>
      <c r="S47" s="17">
        <v>2</v>
      </c>
      <c r="T47" s="17">
        <v>2</v>
      </c>
      <c r="U47" s="17">
        <v>1</v>
      </c>
      <c r="V47" s="17">
        <v>3</v>
      </c>
      <c r="W47" s="17"/>
      <c r="X47" s="17">
        <v>4</v>
      </c>
      <c r="Y47" s="17">
        <v>3</v>
      </c>
      <c r="Z47" s="17">
        <v>2</v>
      </c>
      <c r="AA47" s="17">
        <v>1</v>
      </c>
      <c r="AB47" s="17">
        <v>4</v>
      </c>
      <c r="AC47" s="17">
        <v>4</v>
      </c>
      <c r="AD47" s="17">
        <v>5</v>
      </c>
      <c r="AE47" s="17"/>
      <c r="AF47" s="18"/>
    </row>
    <row r="48" spans="1:32" x14ac:dyDescent="0.35">
      <c r="A48" s="19" t="s">
        <v>49</v>
      </c>
      <c r="B48" s="19" t="s">
        <v>17</v>
      </c>
      <c r="C48" s="19">
        <v>2</v>
      </c>
      <c r="D48" s="19">
        <v>3</v>
      </c>
      <c r="E48" s="19">
        <v>0</v>
      </c>
      <c r="F48" s="19">
        <v>1</v>
      </c>
      <c r="G48" s="19">
        <v>2</v>
      </c>
      <c r="H48" s="19">
        <v>1</v>
      </c>
      <c r="I48" s="19">
        <v>0</v>
      </c>
      <c r="J48" s="19" t="s">
        <v>123</v>
      </c>
      <c r="K48" s="19">
        <v>3</v>
      </c>
      <c r="L48" s="19">
        <v>3</v>
      </c>
      <c r="M48" s="19">
        <v>2</v>
      </c>
      <c r="N48" s="19" t="s">
        <v>51</v>
      </c>
      <c r="O48" s="19">
        <v>3</v>
      </c>
      <c r="P48" s="19">
        <v>1</v>
      </c>
      <c r="Q48" s="19">
        <v>2</v>
      </c>
      <c r="R48" s="19">
        <v>3</v>
      </c>
      <c r="S48" s="19">
        <v>2</v>
      </c>
      <c r="T48" s="19">
        <v>3</v>
      </c>
      <c r="U48" s="19">
        <v>3</v>
      </c>
      <c r="V48" s="19">
        <v>2</v>
      </c>
      <c r="W48" s="19" t="s">
        <v>51</v>
      </c>
      <c r="X48" s="19">
        <v>3</v>
      </c>
      <c r="Y48" s="19">
        <v>2</v>
      </c>
      <c r="Z48" s="19">
        <v>2</v>
      </c>
      <c r="AA48" s="19">
        <v>1</v>
      </c>
      <c r="AB48" s="19">
        <v>3</v>
      </c>
      <c r="AC48" s="19">
        <v>2</v>
      </c>
      <c r="AD48" s="19">
        <v>3</v>
      </c>
      <c r="AE48" s="19"/>
      <c r="AF48" s="20"/>
    </row>
    <row r="49" spans="1:32" x14ac:dyDescent="0.35">
      <c r="A49" s="19" t="s">
        <v>45</v>
      </c>
      <c r="B49" s="19" t="s">
        <v>17</v>
      </c>
      <c r="C49" s="19">
        <v>2</v>
      </c>
      <c r="D49" s="19">
        <v>1</v>
      </c>
      <c r="E49" s="19">
        <v>1</v>
      </c>
      <c r="F49" s="19">
        <v>0</v>
      </c>
      <c r="G49" s="19">
        <v>1</v>
      </c>
      <c r="H49" s="19">
        <v>0</v>
      </c>
      <c r="I49" s="19">
        <v>2</v>
      </c>
      <c r="J49" s="19" t="s">
        <v>37</v>
      </c>
      <c r="K49" s="19">
        <v>4</v>
      </c>
      <c r="L49" s="19">
        <v>3</v>
      </c>
      <c r="M49" s="19">
        <v>3</v>
      </c>
      <c r="N49" s="19" t="s">
        <v>104</v>
      </c>
      <c r="O49" s="19">
        <v>1</v>
      </c>
      <c r="P49" s="19">
        <v>1</v>
      </c>
      <c r="Q49" s="19">
        <v>2</v>
      </c>
      <c r="R49" s="19">
        <v>2</v>
      </c>
      <c r="S49" s="19">
        <v>1</v>
      </c>
      <c r="T49" s="19">
        <v>4</v>
      </c>
      <c r="U49" s="19">
        <v>3</v>
      </c>
      <c r="V49" s="19">
        <v>3</v>
      </c>
      <c r="W49" s="19" t="s">
        <v>104</v>
      </c>
      <c r="X49" s="19">
        <v>4</v>
      </c>
      <c r="Y49" s="19">
        <v>1</v>
      </c>
      <c r="Z49" s="19">
        <v>0</v>
      </c>
      <c r="AA49" s="19">
        <v>1</v>
      </c>
      <c r="AB49" s="19">
        <v>3</v>
      </c>
      <c r="AC49" s="19">
        <v>3</v>
      </c>
      <c r="AD49" s="19">
        <v>3</v>
      </c>
      <c r="AE49" s="19" t="s">
        <v>146</v>
      </c>
      <c r="AF49" s="20"/>
    </row>
    <row r="50" spans="1:32" x14ac:dyDescent="0.35">
      <c r="A50" s="15" t="s">
        <v>159</v>
      </c>
      <c r="B50" s="15" t="s">
        <v>17</v>
      </c>
      <c r="C50" s="15">
        <v>2</v>
      </c>
      <c r="D50" s="15">
        <v>2</v>
      </c>
      <c r="E50" s="15">
        <v>0</v>
      </c>
      <c r="F50" s="15">
        <v>1</v>
      </c>
      <c r="G50" s="15">
        <v>1</v>
      </c>
      <c r="H50" s="15">
        <v>1</v>
      </c>
      <c r="I50" s="15">
        <v>0</v>
      </c>
      <c r="J50" s="15"/>
      <c r="K50" s="15">
        <v>2</v>
      </c>
      <c r="L50" s="15">
        <v>1</v>
      </c>
      <c r="M50" s="15">
        <v>2</v>
      </c>
      <c r="N50" s="15"/>
      <c r="O50" s="15">
        <v>3</v>
      </c>
      <c r="P50" s="15">
        <v>1</v>
      </c>
      <c r="Q50" s="15">
        <v>2</v>
      </c>
      <c r="R50" s="15">
        <v>2</v>
      </c>
      <c r="S50" s="15">
        <v>2</v>
      </c>
      <c r="T50" s="15">
        <v>2</v>
      </c>
      <c r="U50" s="15">
        <v>1</v>
      </c>
      <c r="V50" s="15">
        <v>2</v>
      </c>
      <c r="W50" s="15"/>
      <c r="X50" s="15">
        <v>2</v>
      </c>
      <c r="Y50" s="15">
        <v>3</v>
      </c>
      <c r="Z50" s="15">
        <v>2</v>
      </c>
      <c r="AA50" s="15">
        <v>3</v>
      </c>
      <c r="AB50" s="15">
        <v>3</v>
      </c>
      <c r="AC50" s="15">
        <v>2</v>
      </c>
      <c r="AD50" s="15">
        <v>2</v>
      </c>
      <c r="AE50" s="15"/>
      <c r="AF50" s="16" t="s">
        <v>202</v>
      </c>
    </row>
    <row r="51" spans="1:32" s="29" customFormat="1" ht="13.15" x14ac:dyDescent="0.4">
      <c r="A51" s="28" t="s">
        <v>295</v>
      </c>
      <c r="D51" s="30">
        <f>AVERAGE(D44:D50)</f>
        <v>1.9285714285714286</v>
      </c>
      <c r="E51" s="30">
        <f t="shared" ref="E51:AE51" si="4">AVERAGE(E44:E50)</f>
        <v>0.6428571428571429</v>
      </c>
      <c r="F51" s="30">
        <f t="shared" si="4"/>
        <v>0.5714285714285714</v>
      </c>
      <c r="G51" s="30">
        <f t="shared" si="4"/>
        <v>1</v>
      </c>
      <c r="H51" s="30">
        <f t="shared" si="4"/>
        <v>0.2857142857142857</v>
      </c>
      <c r="I51" s="30">
        <f t="shared" si="4"/>
        <v>0.2857142857142857</v>
      </c>
      <c r="J51" s="30"/>
      <c r="K51" s="30">
        <f t="shared" si="4"/>
        <v>2.8571428571428572</v>
      </c>
      <c r="L51" s="30">
        <f t="shared" si="4"/>
        <v>2.5714285714285716</v>
      </c>
      <c r="M51" s="30">
        <f t="shared" si="4"/>
        <v>2</v>
      </c>
      <c r="N51" s="30"/>
      <c r="O51" s="30">
        <f t="shared" si="4"/>
        <v>2.5714285714285716</v>
      </c>
      <c r="P51" s="30">
        <f t="shared" si="4"/>
        <v>1.4285714285714286</v>
      </c>
      <c r="Q51" s="30">
        <f t="shared" si="4"/>
        <v>2.1428571428571428</v>
      </c>
      <c r="R51" s="30">
        <f t="shared" si="4"/>
        <v>2.5714285714285716</v>
      </c>
      <c r="S51" s="30">
        <f t="shared" si="4"/>
        <v>1.5714285714285714</v>
      </c>
      <c r="T51" s="30">
        <f t="shared" si="4"/>
        <v>2.4285714285714284</v>
      </c>
      <c r="U51" s="30">
        <f t="shared" si="4"/>
        <v>2.2857142857142856</v>
      </c>
      <c r="V51" s="30">
        <f t="shared" si="4"/>
        <v>2.5714285714285716</v>
      </c>
      <c r="W51" s="30"/>
      <c r="X51" s="30">
        <f t="shared" si="4"/>
        <v>3.1428571428571428</v>
      </c>
      <c r="Y51" s="30">
        <f t="shared" si="4"/>
        <v>2.2857142857142856</v>
      </c>
      <c r="Z51" s="30">
        <f t="shared" si="4"/>
        <v>2</v>
      </c>
      <c r="AA51" s="30">
        <f t="shared" si="4"/>
        <v>1.7142857142857142</v>
      </c>
      <c r="AB51" s="30">
        <f t="shared" si="4"/>
        <v>3</v>
      </c>
      <c r="AC51" s="30">
        <f t="shared" si="4"/>
        <v>2.7142857142857144</v>
      </c>
      <c r="AD51" s="30">
        <f t="shared" si="4"/>
        <v>3</v>
      </c>
      <c r="AE51" s="30" t="e">
        <f t="shared" si="4"/>
        <v>#DIV/0!</v>
      </c>
    </row>
    <row r="53" spans="1:32" ht="13.15" x14ac:dyDescent="0.35">
      <c r="A53" s="26" t="s">
        <v>20</v>
      </c>
    </row>
    <row r="54" spans="1:32" ht="51" x14ac:dyDescent="0.35">
      <c r="A54" s="10" t="s">
        <v>1</v>
      </c>
      <c r="B54" s="10" t="s">
        <v>2</v>
      </c>
      <c r="C54" s="10" t="s">
        <v>3</v>
      </c>
      <c r="D54" s="21" t="s">
        <v>287</v>
      </c>
      <c r="E54" s="21" t="s">
        <v>292</v>
      </c>
      <c r="F54" s="21" t="s">
        <v>293</v>
      </c>
      <c r="G54" s="21" t="s">
        <v>47</v>
      </c>
      <c r="H54" s="22" t="s">
        <v>288</v>
      </c>
      <c r="I54" s="22" t="s">
        <v>289</v>
      </c>
      <c r="J54" s="10" t="s">
        <v>4</v>
      </c>
      <c r="K54" s="22" t="s">
        <v>37</v>
      </c>
      <c r="L54" s="22" t="s">
        <v>290</v>
      </c>
      <c r="M54" s="22" t="s">
        <v>291</v>
      </c>
      <c r="N54" s="10" t="s">
        <v>5</v>
      </c>
      <c r="O54" s="21" t="s">
        <v>294</v>
      </c>
      <c r="P54" s="21" t="s">
        <v>292</v>
      </c>
      <c r="Q54" s="21" t="s">
        <v>293</v>
      </c>
      <c r="R54" s="21" t="s">
        <v>47</v>
      </c>
      <c r="S54" s="22" t="s">
        <v>288</v>
      </c>
      <c r="T54" s="22" t="s">
        <v>37</v>
      </c>
      <c r="U54" s="22" t="s">
        <v>290</v>
      </c>
      <c r="V54" s="22" t="s">
        <v>291</v>
      </c>
      <c r="W54" s="10" t="s">
        <v>6</v>
      </c>
      <c r="X54" s="11" t="s">
        <v>7</v>
      </c>
      <c r="Y54" s="10" t="s">
        <v>8</v>
      </c>
      <c r="Z54" s="10" t="s">
        <v>9</v>
      </c>
      <c r="AA54" s="10" t="s">
        <v>10</v>
      </c>
      <c r="AB54" s="10" t="s">
        <v>11</v>
      </c>
      <c r="AC54" s="10" t="s">
        <v>12</v>
      </c>
      <c r="AD54" s="10" t="s">
        <v>13</v>
      </c>
      <c r="AE54" s="11" t="s">
        <v>14</v>
      </c>
      <c r="AF54" s="12" t="s">
        <v>15</v>
      </c>
    </row>
    <row r="55" spans="1:32" x14ac:dyDescent="0.35">
      <c r="A55" s="19" t="s">
        <v>28</v>
      </c>
      <c r="B55" s="19" t="s">
        <v>20</v>
      </c>
      <c r="C55" s="19">
        <v>2</v>
      </c>
      <c r="D55" s="19">
        <v>5</v>
      </c>
      <c r="E55" s="19">
        <v>1</v>
      </c>
      <c r="F55" s="19">
        <v>3</v>
      </c>
      <c r="G55" s="19">
        <v>4</v>
      </c>
      <c r="H55" s="19">
        <v>4</v>
      </c>
      <c r="I55" s="19">
        <v>0</v>
      </c>
      <c r="J55" s="19"/>
      <c r="K55" s="19">
        <v>4</v>
      </c>
      <c r="L55" s="19">
        <v>2</v>
      </c>
      <c r="M55" s="19">
        <v>1</v>
      </c>
      <c r="N55" s="19"/>
      <c r="O55" s="19">
        <v>4</v>
      </c>
      <c r="P55" s="19">
        <v>1</v>
      </c>
      <c r="Q55" s="19">
        <v>2</v>
      </c>
      <c r="R55" s="19">
        <v>4</v>
      </c>
      <c r="S55" s="19">
        <v>4</v>
      </c>
      <c r="T55" s="19">
        <v>1</v>
      </c>
      <c r="U55" s="19">
        <v>1</v>
      </c>
      <c r="V55" s="19">
        <v>1</v>
      </c>
      <c r="W55" s="19"/>
      <c r="X55" s="19">
        <v>2</v>
      </c>
      <c r="Y55" s="19">
        <v>5</v>
      </c>
      <c r="Z55" s="19">
        <v>4</v>
      </c>
      <c r="AA55" s="19">
        <v>1</v>
      </c>
      <c r="AB55" s="19">
        <v>1</v>
      </c>
      <c r="AC55" s="19">
        <v>2</v>
      </c>
      <c r="AD55" s="19">
        <v>2</v>
      </c>
      <c r="AE55" s="19"/>
      <c r="AF55" s="20"/>
    </row>
    <row r="56" spans="1:32" x14ac:dyDescent="0.35">
      <c r="A56" s="13" t="s">
        <v>30</v>
      </c>
      <c r="B56" s="13" t="s">
        <v>20</v>
      </c>
      <c r="C56" s="13">
        <v>2</v>
      </c>
      <c r="D56" s="13">
        <v>3</v>
      </c>
      <c r="E56" s="13">
        <v>2</v>
      </c>
      <c r="F56" s="13">
        <v>4</v>
      </c>
      <c r="G56" s="13">
        <v>5</v>
      </c>
      <c r="H56" s="13">
        <v>3</v>
      </c>
      <c r="I56" s="13">
        <v>0</v>
      </c>
      <c r="J56" s="13"/>
      <c r="K56" s="13">
        <v>2</v>
      </c>
      <c r="L56" s="13">
        <v>2</v>
      </c>
      <c r="M56" s="13">
        <v>4</v>
      </c>
      <c r="N56" s="13"/>
      <c r="O56" s="13">
        <v>3</v>
      </c>
      <c r="P56" s="13">
        <v>2</v>
      </c>
      <c r="Q56" s="13">
        <v>4</v>
      </c>
      <c r="R56" s="13">
        <v>4</v>
      </c>
      <c r="S56" s="13">
        <v>3</v>
      </c>
      <c r="T56" s="13">
        <v>2</v>
      </c>
      <c r="U56" s="13">
        <v>3</v>
      </c>
      <c r="V56" s="13">
        <v>4</v>
      </c>
      <c r="W56" s="13"/>
      <c r="X56" s="13">
        <v>4</v>
      </c>
      <c r="Y56" s="13">
        <v>5</v>
      </c>
      <c r="Z56" s="13">
        <v>4</v>
      </c>
      <c r="AA56" s="13">
        <v>3</v>
      </c>
      <c r="AB56" s="13">
        <v>4</v>
      </c>
      <c r="AC56" s="13">
        <v>4</v>
      </c>
      <c r="AD56" s="13">
        <v>3</v>
      </c>
      <c r="AE56" s="13"/>
      <c r="AF56" s="14"/>
    </row>
    <row r="57" spans="1:32" x14ac:dyDescent="0.35">
      <c r="A57" s="17" t="s">
        <v>23</v>
      </c>
      <c r="B57" s="17" t="s">
        <v>20</v>
      </c>
      <c r="C57" s="17">
        <v>2</v>
      </c>
      <c r="D57" s="17">
        <v>4</v>
      </c>
      <c r="E57" s="17">
        <v>3</v>
      </c>
      <c r="F57" s="17">
        <v>2</v>
      </c>
      <c r="G57" s="17">
        <v>4</v>
      </c>
      <c r="H57" s="17">
        <v>3</v>
      </c>
      <c r="I57" s="17">
        <v>0</v>
      </c>
      <c r="J57" s="17"/>
      <c r="K57" s="17">
        <v>3</v>
      </c>
      <c r="L57" s="17">
        <v>4</v>
      </c>
      <c r="M57" s="17">
        <v>3</v>
      </c>
      <c r="N57" s="17"/>
      <c r="O57" s="17">
        <v>4</v>
      </c>
      <c r="P57" s="17">
        <v>2</v>
      </c>
      <c r="Q57" s="17">
        <v>1</v>
      </c>
      <c r="R57" s="17">
        <v>4</v>
      </c>
      <c r="S57" s="17">
        <v>3</v>
      </c>
      <c r="T57" s="17">
        <v>1</v>
      </c>
      <c r="U57" s="17">
        <v>3</v>
      </c>
      <c r="V57" s="17">
        <v>2</v>
      </c>
      <c r="W57" s="17"/>
      <c r="X57" s="17">
        <v>5</v>
      </c>
      <c r="Y57" s="17">
        <v>2</v>
      </c>
      <c r="Z57" s="17">
        <v>3</v>
      </c>
      <c r="AA57" s="17">
        <v>0</v>
      </c>
      <c r="AB57" s="17">
        <v>2</v>
      </c>
      <c r="AC57" s="17">
        <v>4</v>
      </c>
      <c r="AD57" s="17">
        <v>3</v>
      </c>
      <c r="AE57" s="17">
        <v>6.8</v>
      </c>
      <c r="AF57" s="18"/>
    </row>
    <row r="58" spans="1:32" x14ac:dyDescent="0.35">
      <c r="A58" s="13" t="s">
        <v>24</v>
      </c>
      <c r="B58" s="13" t="s">
        <v>20</v>
      </c>
      <c r="C58" s="13">
        <v>2</v>
      </c>
      <c r="D58" s="13">
        <v>3</v>
      </c>
      <c r="E58" s="13">
        <v>1</v>
      </c>
      <c r="F58" s="13">
        <v>3</v>
      </c>
      <c r="G58" s="13">
        <v>2</v>
      </c>
      <c r="H58" s="13">
        <v>1</v>
      </c>
      <c r="I58" s="13">
        <v>1</v>
      </c>
      <c r="J58" s="13" t="s">
        <v>61</v>
      </c>
      <c r="K58" s="13">
        <v>3</v>
      </c>
      <c r="L58" s="13">
        <v>1</v>
      </c>
      <c r="M58" s="13">
        <v>1</v>
      </c>
      <c r="N58" s="13"/>
      <c r="O58" s="13">
        <v>2</v>
      </c>
      <c r="P58" s="13">
        <v>4</v>
      </c>
      <c r="Q58" s="13">
        <v>1</v>
      </c>
      <c r="R58" s="13">
        <v>2</v>
      </c>
      <c r="S58" s="13">
        <v>2</v>
      </c>
      <c r="T58" s="13">
        <v>3</v>
      </c>
      <c r="U58" s="13">
        <v>2</v>
      </c>
      <c r="V58" s="13">
        <v>1</v>
      </c>
      <c r="W58" s="13"/>
      <c r="X58" s="13">
        <v>4</v>
      </c>
      <c r="Y58" s="13">
        <v>2</v>
      </c>
      <c r="Z58" s="13">
        <v>2</v>
      </c>
      <c r="AA58" s="13">
        <v>2</v>
      </c>
      <c r="AB58" s="13">
        <v>4</v>
      </c>
      <c r="AC58" s="13">
        <v>2</v>
      </c>
      <c r="AD58" s="13">
        <v>3</v>
      </c>
      <c r="AE58" s="13" t="s">
        <v>62</v>
      </c>
      <c r="AF58" s="14"/>
    </row>
    <row r="59" spans="1:32" x14ac:dyDescent="0.35">
      <c r="A59" s="17" t="s">
        <v>74</v>
      </c>
      <c r="B59" s="17" t="s">
        <v>20</v>
      </c>
      <c r="C59" s="17">
        <v>2</v>
      </c>
      <c r="D59" s="17">
        <v>2.5</v>
      </c>
      <c r="E59" s="17">
        <v>2</v>
      </c>
      <c r="F59" s="17">
        <v>0</v>
      </c>
      <c r="G59" s="17">
        <v>2</v>
      </c>
      <c r="H59" s="17">
        <v>0</v>
      </c>
      <c r="I59" s="17">
        <v>0</v>
      </c>
      <c r="J59" s="17"/>
      <c r="K59" s="17">
        <v>2</v>
      </c>
      <c r="L59" s="17">
        <v>1</v>
      </c>
      <c r="M59" s="17">
        <v>1</v>
      </c>
      <c r="N59" s="17"/>
      <c r="O59" s="17">
        <v>2</v>
      </c>
      <c r="P59" s="17">
        <v>3</v>
      </c>
      <c r="Q59" s="17">
        <v>1</v>
      </c>
      <c r="R59" s="17">
        <v>2</v>
      </c>
      <c r="S59" s="17">
        <v>1</v>
      </c>
      <c r="T59" s="17">
        <v>2</v>
      </c>
      <c r="U59" s="17">
        <v>1</v>
      </c>
      <c r="V59" s="17">
        <v>1</v>
      </c>
      <c r="W59" s="17"/>
      <c r="X59" s="17">
        <v>2</v>
      </c>
      <c r="Y59" s="17">
        <v>3</v>
      </c>
      <c r="Z59" s="17">
        <v>1</v>
      </c>
      <c r="AA59" s="17">
        <v>1</v>
      </c>
      <c r="AB59" s="17">
        <v>4</v>
      </c>
      <c r="AC59" s="17">
        <v>3</v>
      </c>
      <c r="AD59" s="17">
        <v>4</v>
      </c>
      <c r="AE59" s="17"/>
      <c r="AF59" s="18"/>
    </row>
    <row r="60" spans="1:32" x14ac:dyDescent="0.35">
      <c r="A60" s="15" t="s">
        <v>44</v>
      </c>
      <c r="B60" s="15" t="s">
        <v>20</v>
      </c>
      <c r="C60" s="15">
        <v>2</v>
      </c>
      <c r="D60" s="15">
        <v>2</v>
      </c>
      <c r="E60" s="15">
        <v>1</v>
      </c>
      <c r="F60" s="15">
        <v>2</v>
      </c>
      <c r="G60" s="15">
        <v>1</v>
      </c>
      <c r="H60" s="15">
        <v>1</v>
      </c>
      <c r="I60" s="15">
        <v>0</v>
      </c>
      <c r="J60" s="15"/>
      <c r="K60" s="15">
        <v>2</v>
      </c>
      <c r="L60" s="15">
        <v>3</v>
      </c>
      <c r="M60" s="15">
        <v>1</v>
      </c>
      <c r="N60" s="15"/>
      <c r="O60" s="15">
        <v>2</v>
      </c>
      <c r="P60" s="15">
        <v>2</v>
      </c>
      <c r="Q60" s="15">
        <v>1</v>
      </c>
      <c r="R60" s="15">
        <v>1</v>
      </c>
      <c r="S60" s="15">
        <v>2</v>
      </c>
      <c r="T60" s="15">
        <v>2</v>
      </c>
      <c r="U60" s="15">
        <v>3</v>
      </c>
      <c r="V60" s="15">
        <v>1</v>
      </c>
      <c r="W60" s="15"/>
      <c r="X60" s="15">
        <v>2</v>
      </c>
      <c r="Y60" s="15">
        <v>1</v>
      </c>
      <c r="Z60" s="15">
        <v>0</v>
      </c>
      <c r="AA60" s="15">
        <v>0</v>
      </c>
      <c r="AB60" s="15">
        <v>2</v>
      </c>
      <c r="AC60" s="15">
        <v>2</v>
      </c>
      <c r="AD60" s="15">
        <v>3</v>
      </c>
      <c r="AE60" s="15"/>
      <c r="AF60" s="16"/>
    </row>
    <row r="61" spans="1:32" x14ac:dyDescent="0.35">
      <c r="A61" s="19" t="s">
        <v>91</v>
      </c>
      <c r="B61" s="19" t="s">
        <v>20</v>
      </c>
      <c r="C61" s="19">
        <v>2</v>
      </c>
      <c r="D61" s="19">
        <v>1</v>
      </c>
      <c r="E61" s="19">
        <v>0</v>
      </c>
      <c r="F61" s="19">
        <v>1</v>
      </c>
      <c r="G61" s="19">
        <v>3</v>
      </c>
      <c r="H61" s="19">
        <v>1</v>
      </c>
      <c r="I61" s="19">
        <v>0</v>
      </c>
      <c r="J61" s="19" t="s">
        <v>92</v>
      </c>
      <c r="K61" s="19">
        <v>1</v>
      </c>
      <c r="L61" s="19">
        <v>4</v>
      </c>
      <c r="M61" s="19">
        <v>3</v>
      </c>
      <c r="N61" s="19"/>
      <c r="O61" s="19">
        <v>3</v>
      </c>
      <c r="P61" s="19">
        <v>1</v>
      </c>
      <c r="Q61" s="19">
        <v>2</v>
      </c>
      <c r="R61" s="19">
        <v>4</v>
      </c>
      <c r="S61" s="19">
        <v>2</v>
      </c>
      <c r="T61" s="19">
        <v>1</v>
      </c>
      <c r="U61" s="19">
        <v>3</v>
      </c>
      <c r="V61" s="19">
        <v>3</v>
      </c>
      <c r="W61" s="19" t="s">
        <v>93</v>
      </c>
      <c r="X61" s="19">
        <v>3</v>
      </c>
      <c r="Y61" s="19">
        <v>3</v>
      </c>
      <c r="Z61" s="19">
        <v>1</v>
      </c>
      <c r="AA61" s="19">
        <v>2</v>
      </c>
      <c r="AB61" s="19">
        <v>3</v>
      </c>
      <c r="AC61" s="19">
        <v>3</v>
      </c>
      <c r="AD61" s="19">
        <v>3</v>
      </c>
      <c r="AE61" s="19" t="s">
        <v>94</v>
      </c>
      <c r="AF61" s="20"/>
    </row>
    <row r="62" spans="1:32" x14ac:dyDescent="0.35">
      <c r="A62" s="17" t="s">
        <v>29</v>
      </c>
      <c r="B62" s="17" t="s">
        <v>20</v>
      </c>
      <c r="C62" s="17">
        <v>2</v>
      </c>
      <c r="D62" s="17">
        <v>4</v>
      </c>
      <c r="E62" s="17">
        <v>0</v>
      </c>
      <c r="F62" s="17">
        <v>1</v>
      </c>
      <c r="G62" s="17">
        <v>1</v>
      </c>
      <c r="H62" s="17">
        <v>2</v>
      </c>
      <c r="I62" s="17">
        <v>3</v>
      </c>
      <c r="J62" s="17" t="s">
        <v>64</v>
      </c>
      <c r="K62" s="17">
        <v>1</v>
      </c>
      <c r="L62" s="17">
        <v>3</v>
      </c>
      <c r="M62" s="17">
        <v>1</v>
      </c>
      <c r="N62" s="17" t="s">
        <v>64</v>
      </c>
      <c r="O62" s="17">
        <v>2</v>
      </c>
      <c r="P62" s="17">
        <v>1</v>
      </c>
      <c r="Q62" s="17">
        <v>2</v>
      </c>
      <c r="R62" s="17">
        <v>2</v>
      </c>
      <c r="S62" s="17">
        <v>4</v>
      </c>
      <c r="T62" s="17">
        <v>1</v>
      </c>
      <c r="U62" s="17">
        <v>4</v>
      </c>
      <c r="V62" s="17">
        <v>1</v>
      </c>
      <c r="W62" s="17"/>
      <c r="X62" s="17">
        <v>5</v>
      </c>
      <c r="Y62" s="17">
        <v>1</v>
      </c>
      <c r="Z62" s="17">
        <v>0</v>
      </c>
      <c r="AA62" s="17">
        <v>0</v>
      </c>
      <c r="AB62" s="17">
        <v>1</v>
      </c>
      <c r="AC62" s="17">
        <v>3</v>
      </c>
      <c r="AD62" s="17">
        <v>4</v>
      </c>
      <c r="AE62" s="17" t="s">
        <v>95</v>
      </c>
      <c r="AF62" s="18"/>
    </row>
    <row r="63" spans="1:32" x14ac:dyDescent="0.35">
      <c r="A63" s="19" t="s">
        <v>33</v>
      </c>
      <c r="B63" s="19" t="s">
        <v>20</v>
      </c>
      <c r="C63" s="19">
        <v>2</v>
      </c>
      <c r="D63" s="19">
        <v>4</v>
      </c>
      <c r="E63" s="19">
        <v>1</v>
      </c>
      <c r="F63" s="19">
        <v>4</v>
      </c>
      <c r="G63" s="19">
        <v>5</v>
      </c>
      <c r="H63" s="19">
        <v>3</v>
      </c>
      <c r="I63" s="19">
        <v>0</v>
      </c>
      <c r="J63" s="19"/>
      <c r="K63" s="19">
        <v>1</v>
      </c>
      <c r="L63" s="19">
        <v>4</v>
      </c>
      <c r="M63" s="19">
        <v>2</v>
      </c>
      <c r="N63" s="19"/>
      <c r="O63" s="19">
        <v>4</v>
      </c>
      <c r="P63" s="19">
        <v>1</v>
      </c>
      <c r="Q63" s="19">
        <v>3</v>
      </c>
      <c r="R63" s="19">
        <v>5</v>
      </c>
      <c r="S63" s="19">
        <v>4</v>
      </c>
      <c r="T63" s="19">
        <v>1</v>
      </c>
      <c r="U63" s="19">
        <v>3</v>
      </c>
      <c r="V63" s="19">
        <v>2</v>
      </c>
      <c r="W63" s="19"/>
      <c r="X63" s="19">
        <v>2</v>
      </c>
      <c r="Y63" s="19">
        <v>4</v>
      </c>
      <c r="Z63" s="19">
        <v>3</v>
      </c>
      <c r="AA63" s="19">
        <v>5</v>
      </c>
      <c r="AB63" s="19">
        <v>2</v>
      </c>
      <c r="AC63" s="19">
        <v>2</v>
      </c>
      <c r="AD63" s="19">
        <v>2</v>
      </c>
      <c r="AE63" s="19"/>
      <c r="AF63" s="20" t="s">
        <v>96</v>
      </c>
    </row>
    <row r="64" spans="1:32" x14ac:dyDescent="0.35">
      <c r="A64" s="15" t="s">
        <v>42</v>
      </c>
      <c r="B64" s="15" t="s">
        <v>20</v>
      </c>
      <c r="C64" s="15">
        <v>2</v>
      </c>
      <c r="D64" s="15">
        <v>4</v>
      </c>
      <c r="E64" s="15">
        <v>2</v>
      </c>
      <c r="F64" s="15">
        <v>3</v>
      </c>
      <c r="G64" s="15">
        <v>1</v>
      </c>
      <c r="H64" s="15">
        <v>0</v>
      </c>
      <c r="I64" s="15">
        <v>0</v>
      </c>
      <c r="J64" s="15"/>
      <c r="K64" s="15">
        <v>1</v>
      </c>
      <c r="L64" s="15">
        <v>1</v>
      </c>
      <c r="M64" s="15">
        <v>2</v>
      </c>
      <c r="N64" s="15"/>
      <c r="O64" s="15">
        <v>2</v>
      </c>
      <c r="P64" s="15">
        <v>4</v>
      </c>
      <c r="Q64" s="15">
        <v>2</v>
      </c>
      <c r="R64" s="15">
        <v>1</v>
      </c>
      <c r="S64" s="15">
        <v>1</v>
      </c>
      <c r="T64" s="15">
        <v>1</v>
      </c>
      <c r="U64" s="15">
        <v>1</v>
      </c>
      <c r="V64" s="15">
        <v>2</v>
      </c>
      <c r="W64" s="15"/>
      <c r="X64" s="15">
        <v>3</v>
      </c>
      <c r="Y64" s="15">
        <v>2</v>
      </c>
      <c r="Z64" s="15">
        <v>1</v>
      </c>
      <c r="AA64" s="15">
        <v>3</v>
      </c>
      <c r="AB64" s="15">
        <v>3</v>
      </c>
      <c r="AC64" s="15">
        <v>4</v>
      </c>
      <c r="AD64" s="15">
        <v>3</v>
      </c>
      <c r="AE64" s="15"/>
      <c r="AF64" s="16"/>
    </row>
    <row r="65" spans="1:32" x14ac:dyDescent="0.35">
      <c r="A65" s="19" t="s">
        <v>107</v>
      </c>
      <c r="B65" s="19" t="s">
        <v>20</v>
      </c>
      <c r="C65" s="19">
        <v>2</v>
      </c>
      <c r="D65" s="19">
        <v>3.5</v>
      </c>
      <c r="E65" s="19">
        <v>2</v>
      </c>
      <c r="F65" s="19">
        <v>1</v>
      </c>
      <c r="G65" s="19">
        <v>2.5</v>
      </c>
      <c r="H65" s="19">
        <v>2.5</v>
      </c>
      <c r="I65" s="19">
        <v>2</v>
      </c>
      <c r="J65" s="19" t="s">
        <v>108</v>
      </c>
      <c r="K65" s="19">
        <v>2</v>
      </c>
      <c r="L65" s="19">
        <v>4</v>
      </c>
      <c r="M65" s="19">
        <v>3</v>
      </c>
      <c r="N65" s="19"/>
      <c r="O65" s="19">
        <v>4</v>
      </c>
      <c r="P65" s="19">
        <v>4</v>
      </c>
      <c r="Q65" s="19">
        <v>2</v>
      </c>
      <c r="R65" s="19">
        <v>3</v>
      </c>
      <c r="S65" s="19">
        <v>3</v>
      </c>
      <c r="T65" s="19">
        <v>3</v>
      </c>
      <c r="U65" s="19">
        <v>4</v>
      </c>
      <c r="V65" s="19">
        <v>2</v>
      </c>
      <c r="W65" s="19"/>
      <c r="X65" s="19">
        <v>4</v>
      </c>
      <c r="Y65" s="19">
        <v>5</v>
      </c>
      <c r="Z65" s="19">
        <v>4</v>
      </c>
      <c r="AA65" s="19">
        <v>3</v>
      </c>
      <c r="AB65" s="19">
        <v>4</v>
      </c>
      <c r="AC65" s="19">
        <v>4</v>
      </c>
      <c r="AD65" s="19">
        <v>4</v>
      </c>
      <c r="AE65" s="19" t="s">
        <v>109</v>
      </c>
      <c r="AF65" s="20"/>
    </row>
    <row r="66" spans="1:32" x14ac:dyDescent="0.35">
      <c r="A66" s="17" t="s">
        <v>39</v>
      </c>
      <c r="B66" s="17" t="s">
        <v>20</v>
      </c>
      <c r="C66" s="17">
        <v>2</v>
      </c>
      <c r="D66" s="17">
        <v>2.5</v>
      </c>
      <c r="E66" s="17">
        <v>1</v>
      </c>
      <c r="F66" s="17">
        <v>2</v>
      </c>
      <c r="G66" s="17">
        <v>2</v>
      </c>
      <c r="H66" s="17">
        <v>0</v>
      </c>
      <c r="I66" s="17">
        <v>0</v>
      </c>
      <c r="J66" s="17" t="s">
        <v>112</v>
      </c>
      <c r="K66" s="17">
        <v>2</v>
      </c>
      <c r="L66" s="17">
        <v>3</v>
      </c>
      <c r="M66" s="17">
        <v>2</v>
      </c>
      <c r="N66" s="17"/>
      <c r="O66" s="17">
        <v>3</v>
      </c>
      <c r="P66" s="17">
        <v>1</v>
      </c>
      <c r="Q66" s="17">
        <v>3</v>
      </c>
      <c r="R66" s="17">
        <v>3</v>
      </c>
      <c r="S66" s="17">
        <v>2</v>
      </c>
      <c r="T66" s="17">
        <v>2</v>
      </c>
      <c r="U66" s="17">
        <v>3</v>
      </c>
      <c r="V66" s="17">
        <v>3</v>
      </c>
      <c r="W66" s="17"/>
      <c r="X66" s="17">
        <v>2</v>
      </c>
      <c r="Y66" s="17">
        <v>2</v>
      </c>
      <c r="Z66" s="17">
        <v>2</v>
      </c>
      <c r="AA66" s="17">
        <v>2</v>
      </c>
      <c r="AB66" s="17">
        <v>3</v>
      </c>
      <c r="AC66" s="17">
        <v>3</v>
      </c>
      <c r="AD66" s="17">
        <v>2</v>
      </c>
      <c r="AE66" s="17"/>
      <c r="AF66" s="18"/>
    </row>
    <row r="67" spans="1:32" x14ac:dyDescent="0.35">
      <c r="A67" s="19" t="s">
        <v>136</v>
      </c>
      <c r="B67" s="19" t="s">
        <v>20</v>
      </c>
      <c r="C67" s="19">
        <v>2</v>
      </c>
      <c r="D67" s="19">
        <v>2</v>
      </c>
      <c r="E67" s="19">
        <v>1</v>
      </c>
      <c r="F67" s="19">
        <v>0</v>
      </c>
      <c r="G67" s="19">
        <v>0</v>
      </c>
      <c r="H67" s="19">
        <v>0</v>
      </c>
      <c r="I67" s="19">
        <v>0</v>
      </c>
      <c r="J67" s="19"/>
      <c r="K67" s="19">
        <v>1</v>
      </c>
      <c r="L67" s="19">
        <v>2</v>
      </c>
      <c r="M67" s="19">
        <v>1</v>
      </c>
      <c r="N67" s="19"/>
      <c r="O67" s="19">
        <v>2</v>
      </c>
      <c r="P67" s="19">
        <v>3</v>
      </c>
      <c r="Q67" s="19">
        <v>1</v>
      </c>
      <c r="R67" s="19">
        <v>1</v>
      </c>
      <c r="S67" s="19">
        <v>1</v>
      </c>
      <c r="T67" s="19">
        <v>1</v>
      </c>
      <c r="U67" s="19">
        <v>3</v>
      </c>
      <c r="V67" s="19">
        <v>1</v>
      </c>
      <c r="W67" s="19"/>
      <c r="X67" s="19">
        <v>2</v>
      </c>
      <c r="Y67" s="19">
        <v>3</v>
      </c>
      <c r="Z67" s="19">
        <v>1</v>
      </c>
      <c r="AA67" s="19">
        <v>0</v>
      </c>
      <c r="AB67" s="19">
        <v>4</v>
      </c>
      <c r="AC67" s="19">
        <v>2</v>
      </c>
      <c r="AD67" s="19">
        <v>2</v>
      </c>
      <c r="AE67" s="19"/>
      <c r="AF67" s="20"/>
    </row>
    <row r="68" spans="1:32" x14ac:dyDescent="0.35">
      <c r="A68" s="17" t="s">
        <v>63</v>
      </c>
      <c r="B68" s="17" t="s">
        <v>20</v>
      </c>
      <c r="C68" s="17">
        <v>2</v>
      </c>
      <c r="D68" s="17">
        <v>4</v>
      </c>
      <c r="E68" s="17">
        <v>0</v>
      </c>
      <c r="F68" s="17">
        <v>1</v>
      </c>
      <c r="G68" s="17">
        <v>4</v>
      </c>
      <c r="H68" s="17">
        <v>1</v>
      </c>
      <c r="I68" s="17">
        <v>0</v>
      </c>
      <c r="J68" s="17"/>
      <c r="K68" s="17">
        <v>2</v>
      </c>
      <c r="L68" s="17">
        <v>4</v>
      </c>
      <c r="M68" s="17">
        <v>1</v>
      </c>
      <c r="N68" s="17"/>
      <c r="O68" s="17">
        <v>4</v>
      </c>
      <c r="P68" s="17">
        <v>1</v>
      </c>
      <c r="Q68" s="17">
        <v>1</v>
      </c>
      <c r="R68" s="17">
        <v>4</v>
      </c>
      <c r="S68" s="17">
        <v>4</v>
      </c>
      <c r="T68" s="17">
        <v>2</v>
      </c>
      <c r="U68" s="17">
        <v>5</v>
      </c>
      <c r="V68" s="17">
        <v>1</v>
      </c>
      <c r="W68" s="17"/>
      <c r="X68" s="17">
        <v>4</v>
      </c>
      <c r="Y68" s="17">
        <v>2</v>
      </c>
      <c r="Z68" s="17">
        <v>3</v>
      </c>
      <c r="AA68" s="17">
        <v>3</v>
      </c>
      <c r="AB68" s="17">
        <v>3</v>
      </c>
      <c r="AC68" s="17">
        <v>4</v>
      </c>
      <c r="AD68" s="17">
        <v>4</v>
      </c>
      <c r="AE68" s="17" t="s">
        <v>137</v>
      </c>
      <c r="AF68" s="18"/>
    </row>
    <row r="69" spans="1:32" x14ac:dyDescent="0.35">
      <c r="A69" s="15" t="s">
        <v>156</v>
      </c>
      <c r="B69" s="15" t="s">
        <v>20</v>
      </c>
      <c r="C69" s="15">
        <v>2</v>
      </c>
      <c r="D69" s="15">
        <v>2</v>
      </c>
      <c r="E69" s="15">
        <v>0</v>
      </c>
      <c r="F69" s="15">
        <v>2</v>
      </c>
      <c r="G69" s="15">
        <v>2</v>
      </c>
      <c r="H69" s="15">
        <v>0</v>
      </c>
      <c r="I69" s="15">
        <v>0</v>
      </c>
      <c r="J69" s="15"/>
      <c r="K69" s="15">
        <v>3</v>
      </c>
      <c r="L69" s="15">
        <v>2</v>
      </c>
      <c r="M69" s="15">
        <v>1</v>
      </c>
      <c r="N69" s="15"/>
      <c r="O69" s="15">
        <v>4</v>
      </c>
      <c r="P69" s="15">
        <v>1</v>
      </c>
      <c r="Q69" s="15">
        <v>3</v>
      </c>
      <c r="R69" s="15">
        <v>4</v>
      </c>
      <c r="S69" s="15">
        <v>2</v>
      </c>
      <c r="T69" s="15">
        <v>3</v>
      </c>
      <c r="U69" s="15">
        <v>2</v>
      </c>
      <c r="V69" s="15">
        <v>1</v>
      </c>
      <c r="W69" s="15"/>
      <c r="X69" s="15">
        <v>3</v>
      </c>
      <c r="Y69" s="15">
        <v>3</v>
      </c>
      <c r="Z69" s="15">
        <v>3</v>
      </c>
      <c r="AA69" s="15">
        <v>2</v>
      </c>
      <c r="AB69" s="15">
        <v>4</v>
      </c>
      <c r="AC69" s="15">
        <v>4</v>
      </c>
      <c r="AD69" s="15">
        <v>4</v>
      </c>
      <c r="AE69" s="15"/>
      <c r="AF69" s="16"/>
    </row>
    <row r="70" spans="1:32" x14ac:dyDescent="0.35">
      <c r="A70" s="15" t="s">
        <v>82</v>
      </c>
      <c r="B70" s="15" t="s">
        <v>20</v>
      </c>
      <c r="C70" s="15">
        <v>2</v>
      </c>
      <c r="D70" s="15">
        <v>4</v>
      </c>
      <c r="E70" s="15">
        <v>3</v>
      </c>
      <c r="F70" s="15">
        <v>3</v>
      </c>
      <c r="G70" s="15">
        <v>4</v>
      </c>
      <c r="H70" s="15">
        <v>2</v>
      </c>
      <c r="I70" s="15">
        <v>0</v>
      </c>
      <c r="J70" s="15"/>
      <c r="K70" s="15">
        <v>2</v>
      </c>
      <c r="L70" s="15">
        <v>3</v>
      </c>
      <c r="M70" s="15">
        <v>4</v>
      </c>
      <c r="N70" s="15" t="s">
        <v>170</v>
      </c>
      <c r="O70" s="15">
        <v>3</v>
      </c>
      <c r="P70" s="15">
        <v>4</v>
      </c>
      <c r="Q70" s="15">
        <v>3</v>
      </c>
      <c r="R70" s="15">
        <v>4</v>
      </c>
      <c r="S70" s="15">
        <v>3</v>
      </c>
      <c r="T70" s="15">
        <v>1</v>
      </c>
      <c r="U70" s="15">
        <v>3</v>
      </c>
      <c r="V70" s="15">
        <v>3</v>
      </c>
      <c r="W70" s="15"/>
      <c r="X70" s="15">
        <v>4</v>
      </c>
      <c r="Y70" s="15">
        <v>4</v>
      </c>
      <c r="Z70" s="15">
        <v>3</v>
      </c>
      <c r="AA70" s="15">
        <v>3</v>
      </c>
      <c r="AB70" s="15">
        <v>4</v>
      </c>
      <c r="AC70" s="15">
        <v>4</v>
      </c>
      <c r="AD70" s="15">
        <v>5</v>
      </c>
      <c r="AE70" s="15"/>
      <c r="AF70" s="16"/>
    </row>
    <row r="71" spans="1:32" x14ac:dyDescent="0.35">
      <c r="A71" s="17" t="s">
        <v>184</v>
      </c>
      <c r="B71" s="17" t="s">
        <v>20</v>
      </c>
      <c r="C71" s="17">
        <v>2</v>
      </c>
      <c r="D71" s="17">
        <v>2</v>
      </c>
      <c r="E71" s="17">
        <v>3</v>
      </c>
      <c r="F71" s="17">
        <v>2</v>
      </c>
      <c r="G71" s="17">
        <v>1</v>
      </c>
      <c r="H71" s="17">
        <v>2</v>
      </c>
      <c r="I71" s="17">
        <v>1</v>
      </c>
      <c r="J71" s="17"/>
      <c r="K71" s="17">
        <v>2</v>
      </c>
      <c r="L71" s="17">
        <v>3</v>
      </c>
      <c r="M71" s="17">
        <v>1</v>
      </c>
      <c r="N71" s="17"/>
      <c r="O71" s="17">
        <v>3</v>
      </c>
      <c r="P71" s="17">
        <v>3</v>
      </c>
      <c r="Q71" s="17">
        <v>3</v>
      </c>
      <c r="R71" s="17">
        <v>1</v>
      </c>
      <c r="S71" s="17">
        <v>2</v>
      </c>
      <c r="T71" s="17">
        <v>1</v>
      </c>
      <c r="U71" s="17">
        <v>4</v>
      </c>
      <c r="V71" s="17">
        <v>3</v>
      </c>
      <c r="W71" s="17"/>
      <c r="X71" s="17">
        <v>2</v>
      </c>
      <c r="Y71" s="17">
        <v>3</v>
      </c>
      <c r="Z71" s="17">
        <v>3</v>
      </c>
      <c r="AA71" s="17">
        <v>4</v>
      </c>
      <c r="AB71" s="17">
        <v>2</v>
      </c>
      <c r="AC71" s="17">
        <v>4</v>
      </c>
      <c r="AD71" s="17">
        <v>3</v>
      </c>
      <c r="AE71" s="17"/>
      <c r="AF71" s="18"/>
    </row>
    <row r="72" spans="1:32" x14ac:dyDescent="0.35">
      <c r="A72" s="15" t="s">
        <v>127</v>
      </c>
      <c r="B72" s="15" t="s">
        <v>20</v>
      </c>
      <c r="C72" s="15">
        <v>2</v>
      </c>
      <c r="D72" s="15">
        <v>4</v>
      </c>
      <c r="E72" s="15">
        <v>2</v>
      </c>
      <c r="F72" s="15">
        <v>1</v>
      </c>
      <c r="G72" s="15">
        <v>3</v>
      </c>
      <c r="H72" s="15">
        <v>3</v>
      </c>
      <c r="I72" s="15">
        <v>4</v>
      </c>
      <c r="J72" s="15" t="s">
        <v>192</v>
      </c>
      <c r="K72" s="15">
        <v>4</v>
      </c>
      <c r="L72" s="15">
        <v>3</v>
      </c>
      <c r="M72" s="15">
        <v>3</v>
      </c>
      <c r="N72" s="15" t="s">
        <v>193</v>
      </c>
      <c r="O72" s="15">
        <v>4</v>
      </c>
      <c r="P72" s="15">
        <v>2</v>
      </c>
      <c r="Q72" s="15">
        <v>4</v>
      </c>
      <c r="R72" s="15">
        <v>4</v>
      </c>
      <c r="S72" s="15">
        <v>3</v>
      </c>
      <c r="T72" s="15">
        <v>3</v>
      </c>
      <c r="U72" s="15">
        <v>3</v>
      </c>
      <c r="V72" s="15">
        <v>3</v>
      </c>
      <c r="W72" s="15"/>
      <c r="X72" s="15">
        <v>3</v>
      </c>
      <c r="Y72" s="15">
        <v>4</v>
      </c>
      <c r="Z72" s="15">
        <v>3</v>
      </c>
      <c r="AA72" s="15">
        <v>3</v>
      </c>
      <c r="AB72" s="15">
        <v>3</v>
      </c>
      <c r="AC72" s="15">
        <v>3</v>
      </c>
      <c r="AD72" s="15">
        <v>3</v>
      </c>
      <c r="AE72" s="15" t="s">
        <v>194</v>
      </c>
      <c r="AF72" s="16" t="s">
        <v>195</v>
      </c>
    </row>
    <row r="73" spans="1:32" x14ac:dyDescent="0.35">
      <c r="A73" s="19" t="s">
        <v>176</v>
      </c>
      <c r="B73" s="19" t="s">
        <v>20</v>
      </c>
      <c r="C73" s="19">
        <v>2</v>
      </c>
      <c r="D73" s="19">
        <v>2</v>
      </c>
      <c r="E73" s="19">
        <v>1.5</v>
      </c>
      <c r="F73" s="19">
        <v>1</v>
      </c>
      <c r="G73" s="19">
        <v>1</v>
      </c>
      <c r="H73" s="19">
        <v>0</v>
      </c>
      <c r="I73" s="19">
        <v>0</v>
      </c>
      <c r="J73" s="19" t="s">
        <v>199</v>
      </c>
      <c r="K73" s="19">
        <v>1</v>
      </c>
      <c r="L73" s="19">
        <v>1</v>
      </c>
      <c r="M73" s="19">
        <v>2</v>
      </c>
      <c r="N73" s="19" t="s">
        <v>179</v>
      </c>
      <c r="O73" s="19">
        <v>1</v>
      </c>
      <c r="P73" s="19">
        <v>1</v>
      </c>
      <c r="Q73" s="19">
        <v>2</v>
      </c>
      <c r="R73" s="19">
        <v>1</v>
      </c>
      <c r="S73" s="19">
        <v>1</v>
      </c>
      <c r="T73" s="19">
        <v>1</v>
      </c>
      <c r="U73" s="19">
        <v>1</v>
      </c>
      <c r="V73" s="19">
        <v>2</v>
      </c>
      <c r="W73" s="19" t="s">
        <v>200</v>
      </c>
      <c r="X73" s="19">
        <v>4</v>
      </c>
      <c r="Y73" s="19">
        <v>2</v>
      </c>
      <c r="Z73" s="19">
        <v>0</v>
      </c>
      <c r="AA73" s="19">
        <v>1</v>
      </c>
      <c r="AB73" s="19">
        <v>5</v>
      </c>
      <c r="AC73" s="19">
        <v>4</v>
      </c>
      <c r="AD73" s="19">
        <v>4</v>
      </c>
      <c r="AE73" s="19"/>
      <c r="AF73" s="20"/>
    </row>
    <row r="74" spans="1:32" s="29" customFormat="1" ht="13.15" x14ac:dyDescent="0.4">
      <c r="A74" s="28" t="s">
        <v>295</v>
      </c>
      <c r="D74" s="30">
        <f t="shared" ref="D74:I74" si="5">AVERAGE(D55:D73)</f>
        <v>3.0789473684210527</v>
      </c>
      <c r="E74" s="30">
        <f t="shared" si="5"/>
        <v>1.3947368421052631</v>
      </c>
      <c r="F74" s="30">
        <f t="shared" si="5"/>
        <v>1.8947368421052631</v>
      </c>
      <c r="G74" s="30">
        <f t="shared" si="5"/>
        <v>2.5</v>
      </c>
      <c r="H74" s="30">
        <f t="shared" si="5"/>
        <v>1.5</v>
      </c>
      <c r="I74" s="30">
        <f t="shared" si="5"/>
        <v>0.57894736842105265</v>
      </c>
      <c r="J74" s="30"/>
      <c r="K74" s="30">
        <f>AVERAGE(K55:K73)</f>
        <v>2.0526315789473686</v>
      </c>
      <c r="L74" s="30">
        <f>AVERAGE(L55:L73)</f>
        <v>2.6315789473684212</v>
      </c>
      <c r="M74" s="30">
        <f>AVERAGE(M55:M73)</f>
        <v>1.9473684210526316</v>
      </c>
      <c r="N74" s="30"/>
      <c r="O74" s="30">
        <f t="shared" ref="O74:V74" si="6">AVERAGE(O55:O73)</f>
        <v>2.9473684210526314</v>
      </c>
      <c r="P74" s="30">
        <f t="shared" si="6"/>
        <v>2.1578947368421053</v>
      </c>
      <c r="Q74" s="30">
        <f t="shared" si="6"/>
        <v>2.1578947368421053</v>
      </c>
      <c r="R74" s="30">
        <f t="shared" si="6"/>
        <v>2.8421052631578947</v>
      </c>
      <c r="S74" s="30">
        <f t="shared" si="6"/>
        <v>2.4736842105263159</v>
      </c>
      <c r="T74" s="30">
        <f t="shared" si="6"/>
        <v>1.6842105263157894</v>
      </c>
      <c r="U74" s="30">
        <f t="shared" si="6"/>
        <v>2.736842105263158</v>
      </c>
      <c r="V74" s="30">
        <f t="shared" si="6"/>
        <v>1.9473684210526316</v>
      </c>
      <c r="W74" s="30"/>
      <c r="X74" s="30">
        <f t="shared" ref="X74:AD74" si="7">AVERAGE(X55:X73)</f>
        <v>3.1578947368421053</v>
      </c>
      <c r="Y74" s="30">
        <f t="shared" si="7"/>
        <v>2.9473684210526314</v>
      </c>
      <c r="Z74" s="30">
        <f t="shared" si="7"/>
        <v>2.1578947368421053</v>
      </c>
      <c r="AA74" s="30">
        <f t="shared" si="7"/>
        <v>2</v>
      </c>
      <c r="AB74" s="30">
        <f t="shared" si="7"/>
        <v>3.0526315789473686</v>
      </c>
      <c r="AC74" s="30">
        <f t="shared" si="7"/>
        <v>3.2105263157894739</v>
      </c>
      <c r="AD74" s="30">
        <f t="shared" si="7"/>
        <v>3.2105263157894739</v>
      </c>
      <c r="AE74" s="30"/>
      <c r="AF74" s="30"/>
    </row>
  </sheetData>
  <autoFilter ref="A1:AF32" xr:uid="{6544942C-7EF9-4B6E-B3A0-B1DD88B844F7}"/>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9FAE4-EF31-4D6F-9252-8494D5BCAAF0}">
  <dimension ref="A1:AF76"/>
  <sheetViews>
    <sheetView topLeftCell="A65" zoomScale="80" zoomScaleNormal="80" workbookViewId="0">
      <selection activeCell="AC30" sqref="A30:XFD30"/>
    </sheetView>
  </sheetViews>
  <sheetFormatPr baseColWidth="10" defaultRowHeight="12.75" x14ac:dyDescent="0.35"/>
  <cols>
    <col min="1" max="1" width="19.796875" bestFit="1" customWidth="1"/>
    <col min="2" max="2" width="28.796875" bestFit="1" customWidth="1"/>
    <col min="3" max="3" width="4.6640625" customWidth="1"/>
    <col min="10" max="10" width="26.1328125" customWidth="1"/>
    <col min="14" max="14" width="10.796875" customWidth="1"/>
    <col min="23" max="23" width="58" customWidth="1"/>
    <col min="31" max="31" width="106.46484375" customWidth="1"/>
    <col min="32" max="32" width="116.46484375" bestFit="1" customWidth="1"/>
  </cols>
  <sheetData>
    <row r="1" spans="1:32" ht="51" x14ac:dyDescent="0.35">
      <c r="A1" s="10" t="s">
        <v>1</v>
      </c>
      <c r="B1" s="10" t="s">
        <v>2</v>
      </c>
      <c r="C1" s="10" t="s">
        <v>3</v>
      </c>
      <c r="D1" s="21" t="s">
        <v>296</v>
      </c>
      <c r="E1" s="21" t="s">
        <v>292</v>
      </c>
      <c r="F1" s="21" t="s">
        <v>293</v>
      </c>
      <c r="G1" s="21" t="s">
        <v>47</v>
      </c>
      <c r="H1" s="22" t="s">
        <v>288</v>
      </c>
      <c r="I1" s="22" t="s">
        <v>289</v>
      </c>
      <c r="J1" s="10" t="s">
        <v>4</v>
      </c>
      <c r="K1" s="22" t="s">
        <v>37</v>
      </c>
      <c r="L1" s="22" t="s">
        <v>290</v>
      </c>
      <c r="M1" s="22" t="s">
        <v>291</v>
      </c>
      <c r="N1" s="10" t="s">
        <v>5</v>
      </c>
      <c r="O1" s="21" t="s">
        <v>294</v>
      </c>
      <c r="P1" s="21" t="s">
        <v>292</v>
      </c>
      <c r="Q1" s="21" t="s">
        <v>293</v>
      </c>
      <c r="R1" s="21" t="s">
        <v>47</v>
      </c>
      <c r="S1" s="22" t="s">
        <v>288</v>
      </c>
      <c r="T1" s="22" t="s">
        <v>37</v>
      </c>
      <c r="U1" s="22" t="s">
        <v>290</v>
      </c>
      <c r="V1" s="22" t="s">
        <v>291</v>
      </c>
      <c r="W1" s="10" t="s">
        <v>6</v>
      </c>
      <c r="X1" s="11" t="s">
        <v>299</v>
      </c>
      <c r="Y1" s="22" t="s">
        <v>297</v>
      </c>
      <c r="Z1" s="22" t="s">
        <v>287</v>
      </c>
      <c r="AA1" s="22" t="s">
        <v>298</v>
      </c>
      <c r="AB1" s="32" t="s">
        <v>300</v>
      </c>
      <c r="AC1" s="32" t="s">
        <v>301</v>
      </c>
      <c r="AD1" s="32" t="s">
        <v>302</v>
      </c>
      <c r="AE1" s="11" t="s">
        <v>14</v>
      </c>
      <c r="AF1" s="12" t="s">
        <v>15</v>
      </c>
    </row>
    <row r="2" spans="1:32" x14ac:dyDescent="0.35">
      <c r="A2" s="5" t="s">
        <v>23</v>
      </c>
      <c r="B2" s="5" t="s">
        <v>20</v>
      </c>
      <c r="C2" s="5">
        <v>3</v>
      </c>
      <c r="D2" s="5">
        <v>4</v>
      </c>
      <c r="E2" s="5">
        <v>2</v>
      </c>
      <c r="F2" s="5">
        <v>0</v>
      </c>
      <c r="G2" s="5">
        <v>4</v>
      </c>
      <c r="H2" s="5">
        <v>0</v>
      </c>
      <c r="I2" s="5">
        <v>0</v>
      </c>
      <c r="J2" s="5"/>
      <c r="K2" s="5">
        <v>3</v>
      </c>
      <c r="L2" s="5">
        <v>4</v>
      </c>
      <c r="M2" s="5">
        <v>4</v>
      </c>
      <c r="N2" s="5"/>
      <c r="O2" s="5">
        <v>4</v>
      </c>
      <c r="P2" s="5">
        <v>3</v>
      </c>
      <c r="Q2" s="5">
        <v>1</v>
      </c>
      <c r="R2" s="5">
        <v>4</v>
      </c>
      <c r="S2" s="5">
        <v>3</v>
      </c>
      <c r="T2" s="5">
        <v>3</v>
      </c>
      <c r="U2" s="5">
        <v>2</v>
      </c>
      <c r="V2" s="5">
        <v>4</v>
      </c>
      <c r="W2" s="5"/>
      <c r="X2" s="5">
        <v>3</v>
      </c>
      <c r="Y2" s="5">
        <v>4</v>
      </c>
      <c r="Z2" s="5">
        <v>4</v>
      </c>
      <c r="AA2" s="5">
        <v>3</v>
      </c>
      <c r="AB2" s="5">
        <v>4</v>
      </c>
      <c r="AC2" s="5">
        <v>4</v>
      </c>
      <c r="AD2" s="5">
        <v>4</v>
      </c>
      <c r="AE2" s="5">
        <v>6.9</v>
      </c>
      <c r="AF2" s="6"/>
    </row>
    <row r="3" spans="1:32" x14ac:dyDescent="0.35">
      <c r="A3" s="5" t="s">
        <v>16</v>
      </c>
      <c r="B3" s="5" t="s">
        <v>17</v>
      </c>
      <c r="C3" s="5">
        <v>3</v>
      </c>
      <c r="D3" s="5">
        <v>1</v>
      </c>
      <c r="E3" s="5">
        <v>0</v>
      </c>
      <c r="F3" s="5">
        <v>0</v>
      </c>
      <c r="G3" s="5">
        <v>0</v>
      </c>
      <c r="H3" s="5">
        <v>0</v>
      </c>
      <c r="I3" s="5">
        <v>0</v>
      </c>
      <c r="J3" s="5" t="s">
        <v>66</v>
      </c>
      <c r="K3" s="5">
        <v>1</v>
      </c>
      <c r="L3" s="5">
        <v>1</v>
      </c>
      <c r="M3" s="5">
        <v>1</v>
      </c>
      <c r="N3" s="5" t="s">
        <v>67</v>
      </c>
      <c r="O3" s="5">
        <v>1</v>
      </c>
      <c r="P3" s="5">
        <v>1</v>
      </c>
      <c r="Q3" s="5">
        <v>1</v>
      </c>
      <c r="R3" s="5">
        <v>1</v>
      </c>
      <c r="S3" s="5">
        <v>1</v>
      </c>
      <c r="T3" s="5">
        <v>1</v>
      </c>
      <c r="U3" s="5">
        <v>1</v>
      </c>
      <c r="V3" s="5">
        <v>1</v>
      </c>
      <c r="W3" s="5"/>
      <c r="X3" s="5">
        <v>1</v>
      </c>
      <c r="Y3" s="5">
        <v>0</v>
      </c>
      <c r="Z3" s="5">
        <v>0</v>
      </c>
      <c r="AA3" s="5">
        <v>0</v>
      </c>
      <c r="AB3" s="5">
        <v>1</v>
      </c>
      <c r="AC3" s="5">
        <v>1</v>
      </c>
      <c r="AD3" s="5">
        <v>1</v>
      </c>
      <c r="AE3" s="5" t="s">
        <v>68</v>
      </c>
      <c r="AF3" s="6"/>
    </row>
    <row r="4" spans="1:32" x14ac:dyDescent="0.35">
      <c r="A4" s="2" t="s">
        <v>30</v>
      </c>
      <c r="B4" s="2" t="s">
        <v>20</v>
      </c>
      <c r="C4" s="2">
        <v>3</v>
      </c>
      <c r="D4" s="2">
        <v>4</v>
      </c>
      <c r="E4" s="2">
        <v>3.5</v>
      </c>
      <c r="F4" s="2">
        <v>2</v>
      </c>
      <c r="G4" s="2">
        <v>4</v>
      </c>
      <c r="H4" s="2">
        <v>2</v>
      </c>
      <c r="I4" s="2">
        <v>0</v>
      </c>
      <c r="J4" s="2"/>
      <c r="K4" s="2">
        <v>5</v>
      </c>
      <c r="L4" s="2">
        <v>3</v>
      </c>
      <c r="M4" s="2">
        <v>3</v>
      </c>
      <c r="N4" s="2" t="s">
        <v>70</v>
      </c>
      <c r="O4" s="2">
        <v>3</v>
      </c>
      <c r="P4" s="2">
        <v>5</v>
      </c>
      <c r="Q4" s="2">
        <v>3</v>
      </c>
      <c r="R4" s="2">
        <v>4</v>
      </c>
      <c r="S4" s="2">
        <v>1</v>
      </c>
      <c r="T4" s="2">
        <v>4</v>
      </c>
      <c r="U4" s="2">
        <v>3</v>
      </c>
      <c r="V4" s="2">
        <v>2</v>
      </c>
      <c r="W4" s="2"/>
      <c r="X4" s="2">
        <v>5</v>
      </c>
      <c r="Y4" s="2">
        <v>3</v>
      </c>
      <c r="Z4" s="2">
        <v>2</v>
      </c>
      <c r="AA4" s="2">
        <v>3</v>
      </c>
      <c r="AB4" s="2">
        <v>5</v>
      </c>
      <c r="AC4" s="2">
        <v>5</v>
      </c>
      <c r="AD4" s="2">
        <v>4</v>
      </c>
      <c r="AE4" s="2"/>
      <c r="AF4" s="3"/>
    </row>
    <row r="5" spans="1:32" x14ac:dyDescent="0.35">
      <c r="A5" s="5" t="s">
        <v>80</v>
      </c>
      <c r="B5" s="5" t="s">
        <v>17</v>
      </c>
      <c r="C5" s="5">
        <v>3</v>
      </c>
      <c r="D5" s="5">
        <v>2</v>
      </c>
      <c r="E5" s="5">
        <v>3</v>
      </c>
      <c r="F5" s="5">
        <v>0</v>
      </c>
      <c r="G5" s="5">
        <v>1</v>
      </c>
      <c r="H5" s="5">
        <v>0</v>
      </c>
      <c r="I5" s="5">
        <v>0</v>
      </c>
      <c r="J5" s="5"/>
      <c r="K5" s="5">
        <v>3</v>
      </c>
      <c r="L5" s="5">
        <v>2</v>
      </c>
      <c r="M5" s="5">
        <v>1</v>
      </c>
      <c r="N5" s="5"/>
      <c r="O5" s="5">
        <v>5</v>
      </c>
      <c r="P5" s="5">
        <v>4</v>
      </c>
      <c r="Q5" s="5">
        <v>1</v>
      </c>
      <c r="R5" s="5">
        <v>1</v>
      </c>
      <c r="S5" s="5">
        <v>1</v>
      </c>
      <c r="T5" s="5">
        <v>1</v>
      </c>
      <c r="U5" s="5">
        <v>1</v>
      </c>
      <c r="V5" s="5">
        <v>3</v>
      </c>
      <c r="W5" s="5"/>
      <c r="X5" s="5">
        <v>2</v>
      </c>
      <c r="Y5" s="5">
        <v>1</v>
      </c>
      <c r="Z5" s="5">
        <v>2</v>
      </c>
      <c r="AA5" s="5">
        <v>1</v>
      </c>
      <c r="AB5" s="5">
        <v>4</v>
      </c>
      <c r="AC5" s="5">
        <v>2</v>
      </c>
      <c r="AD5" s="5">
        <v>3</v>
      </c>
      <c r="AE5" s="5"/>
      <c r="AF5" s="6"/>
    </row>
    <row r="6" spans="1:32" x14ac:dyDescent="0.35">
      <c r="A6" s="2" t="s">
        <v>45</v>
      </c>
      <c r="B6" s="2" t="s">
        <v>17</v>
      </c>
      <c r="C6" s="2">
        <v>3</v>
      </c>
      <c r="D6" s="2">
        <v>4</v>
      </c>
      <c r="E6" s="2">
        <v>0</v>
      </c>
      <c r="F6" s="2">
        <v>1</v>
      </c>
      <c r="G6" s="2">
        <v>1</v>
      </c>
      <c r="H6" s="2">
        <v>0</v>
      </c>
      <c r="I6" s="2">
        <v>3</v>
      </c>
      <c r="J6" s="2" t="s">
        <v>37</v>
      </c>
      <c r="K6" s="2">
        <v>4</v>
      </c>
      <c r="L6" s="2">
        <v>3</v>
      </c>
      <c r="M6" s="2">
        <v>3</v>
      </c>
      <c r="N6" s="2" t="s">
        <v>104</v>
      </c>
      <c r="O6" s="2">
        <v>1</v>
      </c>
      <c r="P6" s="2">
        <v>1</v>
      </c>
      <c r="Q6" s="2">
        <v>1</v>
      </c>
      <c r="R6" s="2">
        <v>2</v>
      </c>
      <c r="S6" s="2">
        <v>3</v>
      </c>
      <c r="T6" s="2">
        <v>4</v>
      </c>
      <c r="U6" s="2">
        <v>3</v>
      </c>
      <c r="V6" s="2">
        <v>3</v>
      </c>
      <c r="W6" s="2" t="s">
        <v>37</v>
      </c>
      <c r="X6" s="2">
        <v>4</v>
      </c>
      <c r="Y6" s="2">
        <v>2</v>
      </c>
      <c r="Z6" s="2">
        <v>1</v>
      </c>
      <c r="AA6" s="2">
        <v>1</v>
      </c>
      <c r="AB6" s="2">
        <v>4</v>
      </c>
      <c r="AC6" s="2">
        <v>4</v>
      </c>
      <c r="AD6" s="2">
        <v>4</v>
      </c>
      <c r="AE6" s="2" t="s">
        <v>105</v>
      </c>
      <c r="AF6" s="3"/>
    </row>
    <row r="7" spans="1:32" x14ac:dyDescent="0.35">
      <c r="A7" s="2" t="s">
        <v>75</v>
      </c>
      <c r="B7" s="2" t="s">
        <v>17</v>
      </c>
      <c r="C7" s="2">
        <v>3</v>
      </c>
      <c r="D7" s="2">
        <v>2</v>
      </c>
      <c r="E7" s="2">
        <v>1</v>
      </c>
      <c r="F7" s="2">
        <v>0</v>
      </c>
      <c r="G7" s="2">
        <v>2</v>
      </c>
      <c r="H7" s="2">
        <v>1</v>
      </c>
      <c r="I7" s="2">
        <v>0</v>
      </c>
      <c r="J7" s="2"/>
      <c r="K7" s="2">
        <v>3</v>
      </c>
      <c r="L7" s="2">
        <v>2</v>
      </c>
      <c r="M7" s="2">
        <v>3</v>
      </c>
      <c r="N7" s="2"/>
      <c r="O7" s="2">
        <v>3</v>
      </c>
      <c r="P7" s="2">
        <v>1</v>
      </c>
      <c r="Q7" s="2">
        <v>1</v>
      </c>
      <c r="R7" s="2">
        <v>2</v>
      </c>
      <c r="S7" s="2">
        <v>1</v>
      </c>
      <c r="T7" s="2">
        <v>2</v>
      </c>
      <c r="U7" s="2">
        <v>2</v>
      </c>
      <c r="V7" s="2">
        <v>4</v>
      </c>
      <c r="W7" s="2"/>
      <c r="X7" s="2">
        <v>3</v>
      </c>
      <c r="Y7" s="2">
        <v>2</v>
      </c>
      <c r="Z7" s="2">
        <v>2</v>
      </c>
      <c r="AA7" s="2">
        <v>2</v>
      </c>
      <c r="AB7" s="2">
        <v>2</v>
      </c>
      <c r="AC7" s="2">
        <v>2</v>
      </c>
      <c r="AD7" s="2">
        <v>3</v>
      </c>
      <c r="AE7" s="2">
        <v>5</v>
      </c>
      <c r="AF7" s="3" t="s">
        <v>106</v>
      </c>
    </row>
    <row r="8" spans="1:32" x14ac:dyDescent="0.35">
      <c r="A8" s="2" t="s">
        <v>44</v>
      </c>
      <c r="B8" s="2" t="s">
        <v>20</v>
      </c>
      <c r="C8" s="2">
        <v>3</v>
      </c>
      <c r="D8" s="2">
        <v>1</v>
      </c>
      <c r="E8" s="2">
        <v>0</v>
      </c>
      <c r="F8" s="2">
        <v>0</v>
      </c>
      <c r="G8" s="2">
        <v>0</v>
      </c>
      <c r="H8" s="2">
        <v>0</v>
      </c>
      <c r="I8" s="2">
        <v>0</v>
      </c>
      <c r="J8" s="2" t="s">
        <v>110</v>
      </c>
      <c r="K8" s="2">
        <v>1</v>
      </c>
      <c r="L8" s="2">
        <v>1</v>
      </c>
      <c r="M8" s="2">
        <v>1</v>
      </c>
      <c r="N8" s="2"/>
      <c r="O8" s="2">
        <v>2</v>
      </c>
      <c r="P8" s="2">
        <v>1</v>
      </c>
      <c r="Q8" s="2">
        <v>1</v>
      </c>
      <c r="R8" s="2">
        <v>1</v>
      </c>
      <c r="S8" s="2">
        <v>1</v>
      </c>
      <c r="T8" s="2">
        <v>2</v>
      </c>
      <c r="U8" s="2">
        <v>3</v>
      </c>
      <c r="V8" s="2">
        <v>1</v>
      </c>
      <c r="W8" s="2"/>
      <c r="X8" s="2">
        <v>2</v>
      </c>
      <c r="Y8" s="2">
        <v>1</v>
      </c>
      <c r="Z8" s="2">
        <v>1</v>
      </c>
      <c r="AA8" s="2">
        <v>0</v>
      </c>
      <c r="AB8" s="2">
        <v>2</v>
      </c>
      <c r="AC8" s="2">
        <v>2</v>
      </c>
      <c r="AD8" s="2">
        <v>2</v>
      </c>
      <c r="AE8" s="2"/>
      <c r="AF8" s="3"/>
    </row>
    <row r="9" spans="1:32" x14ac:dyDescent="0.35">
      <c r="A9" s="2" t="s">
        <v>24</v>
      </c>
      <c r="B9" s="2" t="s">
        <v>20</v>
      </c>
      <c r="C9" s="2">
        <v>3</v>
      </c>
      <c r="D9" s="2">
        <v>3</v>
      </c>
      <c r="E9" s="2">
        <v>1</v>
      </c>
      <c r="F9" s="2">
        <v>1</v>
      </c>
      <c r="G9" s="2">
        <v>2</v>
      </c>
      <c r="H9" s="2">
        <v>1</v>
      </c>
      <c r="I9" s="2">
        <v>4</v>
      </c>
      <c r="J9" s="2" t="s">
        <v>119</v>
      </c>
      <c r="K9" s="2">
        <v>1</v>
      </c>
      <c r="L9" s="2">
        <v>2</v>
      </c>
      <c r="M9" s="2">
        <v>3</v>
      </c>
      <c r="N9" s="2" t="s">
        <v>120</v>
      </c>
      <c r="O9" s="2">
        <v>1</v>
      </c>
      <c r="P9" s="2">
        <v>2</v>
      </c>
      <c r="Q9" s="2">
        <v>1</v>
      </c>
      <c r="R9" s="2">
        <v>2</v>
      </c>
      <c r="S9" s="2">
        <v>3</v>
      </c>
      <c r="T9" s="2">
        <v>2</v>
      </c>
      <c r="U9" s="2">
        <v>2</v>
      </c>
      <c r="V9" s="2">
        <v>4</v>
      </c>
      <c r="W9" s="2" t="s">
        <v>121</v>
      </c>
      <c r="X9" s="2">
        <v>3</v>
      </c>
      <c r="Y9" s="2">
        <v>4</v>
      </c>
      <c r="Z9" s="2">
        <v>1</v>
      </c>
      <c r="AA9" s="2">
        <v>1</v>
      </c>
      <c r="AB9" s="2">
        <v>3</v>
      </c>
      <c r="AC9" s="2">
        <v>2</v>
      </c>
      <c r="AD9" s="2">
        <v>3</v>
      </c>
      <c r="AE9" s="2" t="s">
        <v>122</v>
      </c>
      <c r="AF9" s="3"/>
    </row>
    <row r="10" spans="1:32" x14ac:dyDescent="0.35">
      <c r="A10" s="2" t="s">
        <v>133</v>
      </c>
      <c r="B10" s="2" t="s">
        <v>20</v>
      </c>
      <c r="C10" s="2">
        <v>3</v>
      </c>
      <c r="D10" s="2">
        <v>1</v>
      </c>
      <c r="E10" s="2">
        <v>0</v>
      </c>
      <c r="F10" s="2">
        <v>1</v>
      </c>
      <c r="G10" s="2">
        <v>1</v>
      </c>
      <c r="H10" s="2">
        <v>0</v>
      </c>
      <c r="I10" s="2">
        <v>0</v>
      </c>
      <c r="J10" s="2" t="s">
        <v>134</v>
      </c>
      <c r="K10" s="2">
        <v>2</v>
      </c>
      <c r="L10" s="2">
        <v>1</v>
      </c>
      <c r="M10" s="2">
        <v>2</v>
      </c>
      <c r="N10" s="2"/>
      <c r="O10" s="2">
        <v>1</v>
      </c>
      <c r="P10" s="2">
        <v>1</v>
      </c>
      <c r="Q10" s="2">
        <v>2</v>
      </c>
      <c r="R10" s="2">
        <v>1</v>
      </c>
      <c r="S10" s="2">
        <v>1</v>
      </c>
      <c r="T10" s="2">
        <v>1</v>
      </c>
      <c r="U10" s="2">
        <v>1</v>
      </c>
      <c r="V10" s="2">
        <v>2</v>
      </c>
      <c r="W10" s="2"/>
      <c r="X10" s="2">
        <v>3</v>
      </c>
      <c r="Y10" s="2">
        <v>2</v>
      </c>
      <c r="Z10" s="2">
        <v>1</v>
      </c>
      <c r="AA10" s="2">
        <v>0</v>
      </c>
      <c r="AB10" s="2">
        <v>4</v>
      </c>
      <c r="AC10" s="2">
        <v>4</v>
      </c>
      <c r="AD10" s="2">
        <v>4</v>
      </c>
      <c r="AE10" s="2" t="s">
        <v>135</v>
      </c>
      <c r="AF10" s="3"/>
    </row>
    <row r="11" spans="1:32" x14ac:dyDescent="0.35">
      <c r="A11" s="2" t="s">
        <v>33</v>
      </c>
      <c r="B11" s="2" t="s">
        <v>20</v>
      </c>
      <c r="C11" s="2">
        <v>3</v>
      </c>
      <c r="D11" s="2">
        <v>3</v>
      </c>
      <c r="E11" s="2">
        <v>1</v>
      </c>
      <c r="F11" s="2">
        <v>2</v>
      </c>
      <c r="G11" s="2">
        <v>4</v>
      </c>
      <c r="H11" s="2">
        <v>5</v>
      </c>
      <c r="I11" s="2">
        <v>0</v>
      </c>
      <c r="J11" s="2"/>
      <c r="K11" s="2">
        <v>2</v>
      </c>
      <c r="L11" s="2">
        <v>3</v>
      </c>
      <c r="M11" s="2">
        <v>1</v>
      </c>
      <c r="N11" s="2"/>
      <c r="O11" s="2">
        <v>3</v>
      </c>
      <c r="P11" s="2">
        <v>2</v>
      </c>
      <c r="Q11" s="2">
        <v>3</v>
      </c>
      <c r="R11" s="2">
        <v>5</v>
      </c>
      <c r="S11" s="2">
        <v>4</v>
      </c>
      <c r="T11" s="2">
        <v>2</v>
      </c>
      <c r="U11" s="2">
        <v>4</v>
      </c>
      <c r="V11" s="2">
        <v>1</v>
      </c>
      <c r="W11" s="2"/>
      <c r="X11" s="2">
        <v>5</v>
      </c>
      <c r="Y11" s="2">
        <v>4</v>
      </c>
      <c r="Z11" s="2">
        <v>3</v>
      </c>
      <c r="AA11" s="2">
        <v>5</v>
      </c>
      <c r="AB11" s="2">
        <v>5</v>
      </c>
      <c r="AC11" s="2">
        <v>5</v>
      </c>
      <c r="AD11" s="2">
        <v>5</v>
      </c>
      <c r="AE11" s="2"/>
      <c r="AF11" s="3"/>
    </row>
    <row r="12" spans="1:32" x14ac:dyDescent="0.35">
      <c r="A12" s="2" t="s">
        <v>29</v>
      </c>
      <c r="B12" s="2" t="s">
        <v>20</v>
      </c>
      <c r="C12" s="2">
        <v>3</v>
      </c>
      <c r="D12" s="2">
        <v>1</v>
      </c>
      <c r="E12" s="2">
        <v>0</v>
      </c>
      <c r="F12" s="2">
        <v>0</v>
      </c>
      <c r="G12" s="2">
        <v>0</v>
      </c>
      <c r="H12" s="2">
        <v>0</v>
      </c>
      <c r="I12" s="2">
        <v>2</v>
      </c>
      <c r="J12" s="2" t="s">
        <v>147</v>
      </c>
      <c r="K12" s="2">
        <v>1</v>
      </c>
      <c r="L12" s="2">
        <v>1</v>
      </c>
      <c r="M12" s="2">
        <v>3</v>
      </c>
      <c r="N12" s="2"/>
      <c r="O12" s="2">
        <v>1</v>
      </c>
      <c r="P12" s="2">
        <v>4</v>
      </c>
      <c r="Q12" s="2">
        <v>1</v>
      </c>
      <c r="R12" s="2">
        <v>1</v>
      </c>
      <c r="S12" s="2">
        <v>1</v>
      </c>
      <c r="T12" s="2">
        <v>1</v>
      </c>
      <c r="U12" s="2">
        <v>1</v>
      </c>
      <c r="V12" s="2">
        <v>1</v>
      </c>
      <c r="W12" s="2"/>
      <c r="X12" s="2">
        <v>1</v>
      </c>
      <c r="Y12" s="2">
        <v>3</v>
      </c>
      <c r="Z12" s="2">
        <v>0</v>
      </c>
      <c r="AA12" s="2">
        <v>2</v>
      </c>
      <c r="AB12" s="2">
        <v>3</v>
      </c>
      <c r="AC12" s="2">
        <v>2</v>
      </c>
      <c r="AD12" s="2">
        <v>3</v>
      </c>
      <c r="AE12" s="2"/>
      <c r="AF12" s="3"/>
    </row>
    <row r="13" spans="1:32" x14ac:dyDescent="0.35">
      <c r="A13" s="5" t="s">
        <v>74</v>
      </c>
      <c r="B13" s="5" t="s">
        <v>20</v>
      </c>
      <c r="C13" s="5">
        <v>3</v>
      </c>
      <c r="D13" s="5">
        <v>1</v>
      </c>
      <c r="E13" s="5">
        <v>1</v>
      </c>
      <c r="F13" s="5">
        <v>0</v>
      </c>
      <c r="G13" s="5">
        <v>0</v>
      </c>
      <c r="H13" s="5">
        <v>0</v>
      </c>
      <c r="I13" s="5">
        <v>0</v>
      </c>
      <c r="J13" s="5"/>
      <c r="K13" s="5">
        <v>2</v>
      </c>
      <c r="L13" s="5">
        <v>1</v>
      </c>
      <c r="M13" s="5">
        <v>2</v>
      </c>
      <c r="N13" s="5"/>
      <c r="O13" s="5">
        <v>1</v>
      </c>
      <c r="P13" s="5">
        <v>2</v>
      </c>
      <c r="Q13" s="5">
        <v>1</v>
      </c>
      <c r="R13" s="5">
        <v>2</v>
      </c>
      <c r="S13" s="5">
        <v>1</v>
      </c>
      <c r="T13" s="5">
        <v>2</v>
      </c>
      <c r="U13" s="5">
        <v>1</v>
      </c>
      <c r="V13" s="5">
        <v>3</v>
      </c>
      <c r="W13" s="5"/>
      <c r="X13" s="5">
        <v>4</v>
      </c>
      <c r="Y13" s="5">
        <v>2</v>
      </c>
      <c r="Z13" s="5">
        <v>1</v>
      </c>
      <c r="AA13" s="5">
        <v>2</v>
      </c>
      <c r="AB13" s="5">
        <v>4</v>
      </c>
      <c r="AC13" s="5">
        <v>4</v>
      </c>
      <c r="AD13" s="5">
        <v>4</v>
      </c>
      <c r="AE13" s="5"/>
      <c r="AF13" s="6"/>
    </row>
    <row r="14" spans="1:32" x14ac:dyDescent="0.35">
      <c r="A14" s="2" t="s">
        <v>28</v>
      </c>
      <c r="B14" s="2" t="s">
        <v>20</v>
      </c>
      <c r="C14" s="2">
        <v>3</v>
      </c>
      <c r="D14" s="2">
        <v>1.5</v>
      </c>
      <c r="E14" s="2">
        <v>2</v>
      </c>
      <c r="F14" s="2">
        <v>2</v>
      </c>
      <c r="G14" s="2">
        <v>2</v>
      </c>
      <c r="H14" s="2">
        <v>2</v>
      </c>
      <c r="I14" s="2">
        <v>0</v>
      </c>
      <c r="J14" s="2"/>
      <c r="K14" s="2">
        <v>3</v>
      </c>
      <c r="L14" s="2">
        <v>3</v>
      </c>
      <c r="M14" s="2">
        <v>1</v>
      </c>
      <c r="N14" s="2"/>
      <c r="O14" s="2">
        <v>3</v>
      </c>
      <c r="P14" s="2">
        <v>1</v>
      </c>
      <c r="Q14" s="2">
        <v>3</v>
      </c>
      <c r="R14" s="2">
        <v>3</v>
      </c>
      <c r="S14" s="2">
        <v>3</v>
      </c>
      <c r="T14" s="2">
        <v>3</v>
      </c>
      <c r="U14" s="2">
        <v>3</v>
      </c>
      <c r="V14" s="2">
        <v>1</v>
      </c>
      <c r="W14" s="2"/>
      <c r="X14" s="2">
        <v>5</v>
      </c>
      <c r="Y14" s="2">
        <v>5</v>
      </c>
      <c r="Z14" s="2">
        <v>3</v>
      </c>
      <c r="AA14" s="2">
        <v>5</v>
      </c>
      <c r="AB14" s="2">
        <v>5</v>
      </c>
      <c r="AC14" s="2">
        <v>5</v>
      </c>
      <c r="AD14" s="2">
        <v>5</v>
      </c>
      <c r="AE14" s="2" t="s">
        <v>148</v>
      </c>
      <c r="AF14" s="3"/>
    </row>
    <row r="15" spans="1:32" x14ac:dyDescent="0.35">
      <c r="A15" s="5" t="s">
        <v>107</v>
      </c>
      <c r="B15" s="5" t="s">
        <v>20</v>
      </c>
      <c r="C15" s="5">
        <v>3</v>
      </c>
      <c r="D15" s="5">
        <v>3</v>
      </c>
      <c r="E15" s="5">
        <v>2</v>
      </c>
      <c r="F15" s="5">
        <v>3</v>
      </c>
      <c r="G15" s="5">
        <v>4</v>
      </c>
      <c r="H15" s="5">
        <v>2</v>
      </c>
      <c r="I15" s="5">
        <v>2</v>
      </c>
      <c r="J15" s="5" t="s">
        <v>151</v>
      </c>
      <c r="K15" s="5">
        <v>1</v>
      </c>
      <c r="L15" s="5">
        <v>2</v>
      </c>
      <c r="M15" s="5">
        <v>3</v>
      </c>
      <c r="N15" s="5"/>
      <c r="O15" s="5">
        <v>3</v>
      </c>
      <c r="P15" s="5">
        <v>2</v>
      </c>
      <c r="Q15" s="5">
        <v>3</v>
      </c>
      <c r="R15" s="5">
        <v>3</v>
      </c>
      <c r="S15" s="5">
        <v>1</v>
      </c>
      <c r="T15" s="5">
        <v>1</v>
      </c>
      <c r="U15" s="5">
        <v>2</v>
      </c>
      <c r="V15" s="5">
        <v>3</v>
      </c>
      <c r="W15" s="5" t="s">
        <v>152</v>
      </c>
      <c r="X15" s="5">
        <v>4</v>
      </c>
      <c r="Y15" s="5">
        <v>2</v>
      </c>
      <c r="Z15" s="5">
        <v>3</v>
      </c>
      <c r="AA15" s="5">
        <v>3</v>
      </c>
      <c r="AB15" s="5">
        <v>4</v>
      </c>
      <c r="AC15" s="5">
        <v>4</v>
      </c>
      <c r="AD15" s="5">
        <v>4</v>
      </c>
      <c r="AE15" s="5" t="s">
        <v>153</v>
      </c>
      <c r="AF15" s="6"/>
    </row>
    <row r="16" spans="1:32" x14ac:dyDescent="0.35">
      <c r="A16" s="5" t="s">
        <v>39</v>
      </c>
      <c r="B16" s="5" t="s">
        <v>20</v>
      </c>
      <c r="C16" s="5">
        <v>3</v>
      </c>
      <c r="D16" s="5">
        <v>3</v>
      </c>
      <c r="E16" s="5">
        <v>2</v>
      </c>
      <c r="F16" s="5">
        <v>3</v>
      </c>
      <c r="G16" s="5">
        <v>3</v>
      </c>
      <c r="H16" s="5">
        <v>1</v>
      </c>
      <c r="I16" s="5">
        <v>0</v>
      </c>
      <c r="J16" s="5" t="s">
        <v>112</v>
      </c>
      <c r="K16" s="5">
        <v>2</v>
      </c>
      <c r="L16" s="5">
        <v>3</v>
      </c>
      <c r="M16" s="5">
        <v>3</v>
      </c>
      <c r="N16" s="5"/>
      <c r="O16" s="5">
        <v>2</v>
      </c>
      <c r="P16" s="5">
        <v>2</v>
      </c>
      <c r="Q16" s="5">
        <v>2</v>
      </c>
      <c r="R16" s="5">
        <v>2</v>
      </c>
      <c r="S16" s="5">
        <v>1</v>
      </c>
      <c r="T16" s="5">
        <v>2</v>
      </c>
      <c r="U16" s="5">
        <v>2</v>
      </c>
      <c r="V16" s="5">
        <v>2</v>
      </c>
      <c r="W16" s="5"/>
      <c r="X16" s="5">
        <v>3</v>
      </c>
      <c r="Y16" s="5">
        <v>1</v>
      </c>
      <c r="Z16" s="5">
        <v>1</v>
      </c>
      <c r="AA16" s="5">
        <v>1</v>
      </c>
      <c r="AB16" s="5">
        <v>2</v>
      </c>
      <c r="AC16" s="5">
        <v>2</v>
      </c>
      <c r="AD16" s="5">
        <v>3</v>
      </c>
      <c r="AE16" s="5"/>
      <c r="AF16" s="6"/>
    </row>
    <row r="17" spans="1:32" x14ac:dyDescent="0.35">
      <c r="A17" s="2" t="s">
        <v>42</v>
      </c>
      <c r="B17" s="2" t="s">
        <v>20</v>
      </c>
      <c r="C17" s="2">
        <v>3</v>
      </c>
      <c r="D17" s="2">
        <v>3</v>
      </c>
      <c r="E17" s="2">
        <v>1</v>
      </c>
      <c r="F17" s="2">
        <v>4</v>
      </c>
      <c r="G17" s="2">
        <v>3</v>
      </c>
      <c r="H17" s="2">
        <v>1</v>
      </c>
      <c r="I17" s="2">
        <v>0</v>
      </c>
      <c r="J17" s="2"/>
      <c r="K17" s="2">
        <v>3</v>
      </c>
      <c r="L17" s="2">
        <v>2</v>
      </c>
      <c r="M17" s="2">
        <v>2</v>
      </c>
      <c r="N17" s="2" t="s">
        <v>155</v>
      </c>
      <c r="O17" s="2">
        <v>3</v>
      </c>
      <c r="P17" s="2">
        <v>2</v>
      </c>
      <c r="Q17" s="2">
        <v>3</v>
      </c>
      <c r="R17" s="2">
        <v>3</v>
      </c>
      <c r="S17" s="2">
        <v>2</v>
      </c>
      <c r="T17" s="2">
        <v>2</v>
      </c>
      <c r="U17" s="2">
        <v>3</v>
      </c>
      <c r="V17" s="2">
        <v>2</v>
      </c>
      <c r="W17" s="2"/>
      <c r="X17" s="2">
        <v>4</v>
      </c>
      <c r="Y17" s="2">
        <v>2</v>
      </c>
      <c r="Z17" s="2">
        <v>2</v>
      </c>
      <c r="AA17" s="2">
        <v>4</v>
      </c>
      <c r="AB17" s="2">
        <v>4</v>
      </c>
      <c r="AC17" s="2">
        <v>4</v>
      </c>
      <c r="AD17" s="2">
        <v>3</v>
      </c>
      <c r="AE17" s="2"/>
      <c r="AF17" s="3"/>
    </row>
    <row r="18" spans="1:32" x14ac:dyDescent="0.35">
      <c r="A18" s="2" t="s">
        <v>76</v>
      </c>
      <c r="B18" s="2" t="s">
        <v>77</v>
      </c>
      <c r="C18" s="2">
        <v>3</v>
      </c>
      <c r="D18" s="2">
        <v>2</v>
      </c>
      <c r="E18" s="2">
        <v>1</v>
      </c>
      <c r="F18" s="2">
        <v>0</v>
      </c>
      <c r="G18" s="2">
        <v>1</v>
      </c>
      <c r="H18" s="2">
        <v>0</v>
      </c>
      <c r="I18" s="2">
        <v>0</v>
      </c>
      <c r="J18" s="2" t="s">
        <v>162</v>
      </c>
      <c r="K18" s="2">
        <v>2</v>
      </c>
      <c r="L18" s="2">
        <v>1</v>
      </c>
      <c r="M18" s="2">
        <v>2</v>
      </c>
      <c r="N18" s="2"/>
      <c r="O18" s="2">
        <v>3</v>
      </c>
      <c r="P18" s="2">
        <v>1</v>
      </c>
      <c r="Q18" s="2">
        <v>1</v>
      </c>
      <c r="R18" s="2">
        <v>1</v>
      </c>
      <c r="S18" s="2">
        <v>1</v>
      </c>
      <c r="T18" s="2">
        <v>2</v>
      </c>
      <c r="U18" s="2">
        <v>1</v>
      </c>
      <c r="V18" s="2">
        <v>2</v>
      </c>
      <c r="W18" s="2"/>
      <c r="X18" s="2">
        <v>2</v>
      </c>
      <c r="Y18" s="2">
        <v>2</v>
      </c>
      <c r="Z18" s="2">
        <v>0</v>
      </c>
      <c r="AA18" s="2">
        <v>1</v>
      </c>
      <c r="AB18" s="2">
        <v>4</v>
      </c>
      <c r="AC18" s="2">
        <v>3</v>
      </c>
      <c r="AD18" s="2">
        <v>3</v>
      </c>
      <c r="AE18" s="2" t="s">
        <v>163</v>
      </c>
      <c r="AF18" s="3"/>
    </row>
    <row r="19" spans="1:32" x14ac:dyDescent="0.35">
      <c r="A19" s="5" t="s">
        <v>81</v>
      </c>
      <c r="B19" s="5" t="s">
        <v>20</v>
      </c>
      <c r="C19" s="5">
        <v>3</v>
      </c>
      <c r="D19" s="5">
        <v>2</v>
      </c>
      <c r="E19" s="5">
        <v>2</v>
      </c>
      <c r="F19" s="5">
        <v>0</v>
      </c>
      <c r="G19" s="5">
        <v>0</v>
      </c>
      <c r="H19" s="5">
        <v>0</v>
      </c>
      <c r="I19" s="5">
        <v>0</v>
      </c>
      <c r="J19" s="5"/>
      <c r="K19" s="5">
        <v>1</v>
      </c>
      <c r="L19" s="5">
        <v>2</v>
      </c>
      <c r="M19" s="5">
        <v>1</v>
      </c>
      <c r="N19" s="5"/>
      <c r="O19" s="5">
        <v>4</v>
      </c>
      <c r="P19" s="5">
        <v>4</v>
      </c>
      <c r="Q19" s="5">
        <v>1</v>
      </c>
      <c r="R19" s="5">
        <v>1</v>
      </c>
      <c r="S19" s="5">
        <v>2</v>
      </c>
      <c r="T19" s="5">
        <v>1</v>
      </c>
      <c r="U19" s="5">
        <v>3</v>
      </c>
      <c r="V19" s="5">
        <v>1</v>
      </c>
      <c r="W19" s="5"/>
      <c r="X19" s="5">
        <v>2</v>
      </c>
      <c r="Y19" s="5">
        <v>3</v>
      </c>
      <c r="Z19" s="5">
        <v>0</v>
      </c>
      <c r="AA19" s="5">
        <v>1</v>
      </c>
      <c r="AB19" s="5">
        <v>3</v>
      </c>
      <c r="AC19" s="5">
        <v>3</v>
      </c>
      <c r="AD19" s="5">
        <v>2</v>
      </c>
      <c r="AE19" s="5"/>
      <c r="AF19" s="6"/>
    </row>
    <row r="20" spans="1:32" x14ac:dyDescent="0.35">
      <c r="A20" s="2" t="s">
        <v>49</v>
      </c>
      <c r="B20" s="2" t="s">
        <v>17</v>
      </c>
      <c r="C20" s="2">
        <v>3</v>
      </c>
      <c r="D20" s="2">
        <v>2</v>
      </c>
      <c r="E20" s="2">
        <v>0</v>
      </c>
      <c r="F20" s="2">
        <v>1</v>
      </c>
      <c r="G20" s="2">
        <v>0</v>
      </c>
      <c r="H20" s="2">
        <v>0</v>
      </c>
      <c r="I20" s="2">
        <v>0</v>
      </c>
      <c r="J20" s="2" t="s">
        <v>50</v>
      </c>
      <c r="K20" s="2">
        <v>2</v>
      </c>
      <c r="L20" s="2">
        <v>1</v>
      </c>
      <c r="M20" s="2">
        <v>1</v>
      </c>
      <c r="N20" s="2" t="s">
        <v>51</v>
      </c>
      <c r="O20" s="2">
        <v>1</v>
      </c>
      <c r="P20" s="2">
        <v>1</v>
      </c>
      <c r="Q20" s="2">
        <v>2</v>
      </c>
      <c r="R20" s="2">
        <v>1</v>
      </c>
      <c r="S20" s="2">
        <v>1</v>
      </c>
      <c r="T20" s="2">
        <v>2</v>
      </c>
      <c r="U20" s="2">
        <v>1</v>
      </c>
      <c r="V20" s="2">
        <v>1</v>
      </c>
      <c r="W20" s="2" t="s">
        <v>169</v>
      </c>
      <c r="X20" s="2">
        <v>1</v>
      </c>
      <c r="Y20" s="2">
        <v>0</v>
      </c>
      <c r="Z20" s="2">
        <v>0</v>
      </c>
      <c r="AA20" s="2">
        <v>0</v>
      </c>
      <c r="AB20" s="2">
        <v>1</v>
      </c>
      <c r="AC20" s="2">
        <v>1</v>
      </c>
      <c r="AD20" s="2">
        <v>1</v>
      </c>
      <c r="AE20" s="2"/>
      <c r="AF20" s="3"/>
    </row>
    <row r="21" spans="1:32" x14ac:dyDescent="0.35">
      <c r="A21" s="5" t="s">
        <v>180</v>
      </c>
      <c r="B21" s="5" t="s">
        <v>17</v>
      </c>
      <c r="C21" s="5">
        <v>3</v>
      </c>
      <c r="D21" s="5">
        <v>3</v>
      </c>
      <c r="E21" s="5">
        <v>2</v>
      </c>
      <c r="F21" s="5">
        <v>1</v>
      </c>
      <c r="G21" s="5">
        <v>1</v>
      </c>
      <c r="H21" s="5">
        <v>0</v>
      </c>
      <c r="I21" s="5">
        <v>2</v>
      </c>
      <c r="J21" s="5" t="s">
        <v>181</v>
      </c>
      <c r="K21" s="5">
        <v>2</v>
      </c>
      <c r="L21" s="5">
        <v>2</v>
      </c>
      <c r="M21" s="5">
        <v>2</v>
      </c>
      <c r="N21" s="5"/>
      <c r="O21" s="5">
        <v>3</v>
      </c>
      <c r="P21" s="5">
        <v>2</v>
      </c>
      <c r="Q21" s="5">
        <v>2</v>
      </c>
      <c r="R21" s="5">
        <v>2</v>
      </c>
      <c r="S21" s="5">
        <v>2</v>
      </c>
      <c r="T21" s="5">
        <v>2</v>
      </c>
      <c r="U21" s="5">
        <v>1</v>
      </c>
      <c r="V21" s="5">
        <v>2</v>
      </c>
      <c r="W21" s="5" t="s">
        <v>182</v>
      </c>
      <c r="X21" s="5">
        <v>3</v>
      </c>
      <c r="Y21" s="5">
        <v>1</v>
      </c>
      <c r="Z21" s="5">
        <v>1</v>
      </c>
      <c r="AA21" s="5">
        <v>2</v>
      </c>
      <c r="AB21" s="5">
        <v>3</v>
      </c>
      <c r="AC21" s="5">
        <v>3</v>
      </c>
      <c r="AD21" s="5">
        <v>3</v>
      </c>
      <c r="AE21" s="5"/>
      <c r="AF21" s="6"/>
    </row>
    <row r="22" spans="1:32" x14ac:dyDescent="0.35">
      <c r="A22" s="2" t="s">
        <v>63</v>
      </c>
      <c r="B22" s="2" t="s">
        <v>20</v>
      </c>
      <c r="C22" s="2">
        <v>3</v>
      </c>
      <c r="D22" s="2">
        <v>3</v>
      </c>
      <c r="E22" s="2">
        <v>2</v>
      </c>
      <c r="F22" s="2">
        <v>4</v>
      </c>
      <c r="G22" s="2">
        <v>2</v>
      </c>
      <c r="H22" s="2">
        <v>1</v>
      </c>
      <c r="I22" s="2">
        <v>0</v>
      </c>
      <c r="J22" s="2"/>
      <c r="K22" s="2">
        <v>1</v>
      </c>
      <c r="L22" s="2">
        <v>2</v>
      </c>
      <c r="M22" s="2">
        <v>4</v>
      </c>
      <c r="N22" s="2"/>
      <c r="O22" s="2">
        <v>2</v>
      </c>
      <c r="P22" s="2">
        <v>2</v>
      </c>
      <c r="Q22" s="2">
        <v>2</v>
      </c>
      <c r="R22" s="2">
        <v>1</v>
      </c>
      <c r="S22" s="2">
        <v>1</v>
      </c>
      <c r="T22" s="2">
        <v>1</v>
      </c>
      <c r="U22" s="2">
        <v>1</v>
      </c>
      <c r="V22" s="2">
        <v>4</v>
      </c>
      <c r="W22" s="2"/>
      <c r="X22" s="2">
        <v>2</v>
      </c>
      <c r="Y22" s="2">
        <v>1</v>
      </c>
      <c r="Z22" s="2">
        <v>0</v>
      </c>
      <c r="AA22" s="2">
        <v>1</v>
      </c>
      <c r="AB22" s="2">
        <v>3</v>
      </c>
      <c r="AC22" s="2">
        <v>2</v>
      </c>
      <c r="AD22" s="2">
        <v>2</v>
      </c>
      <c r="AE22" s="2" t="s">
        <v>183</v>
      </c>
      <c r="AF22" s="3"/>
    </row>
    <row r="23" spans="1:32" x14ac:dyDescent="0.35">
      <c r="A23" s="2" t="s">
        <v>173</v>
      </c>
      <c r="B23" s="2" t="s">
        <v>77</v>
      </c>
      <c r="C23" s="2">
        <v>3</v>
      </c>
      <c r="D23" s="2">
        <v>1</v>
      </c>
      <c r="E23" s="2">
        <v>1</v>
      </c>
      <c r="F23" s="2">
        <v>0</v>
      </c>
      <c r="G23" s="2">
        <v>0</v>
      </c>
      <c r="H23" s="2">
        <v>0</v>
      </c>
      <c r="I23" s="2">
        <v>1</v>
      </c>
      <c r="J23" s="2" t="s">
        <v>189</v>
      </c>
      <c r="K23" s="2">
        <v>1</v>
      </c>
      <c r="L23" s="2">
        <v>1</v>
      </c>
      <c r="M23" s="2">
        <v>1</v>
      </c>
      <c r="N23" s="2"/>
      <c r="O23" s="2">
        <v>2</v>
      </c>
      <c r="P23" s="2">
        <v>1</v>
      </c>
      <c r="Q23" s="2">
        <v>1</v>
      </c>
      <c r="R23" s="2">
        <v>1</v>
      </c>
      <c r="S23" s="2">
        <v>1</v>
      </c>
      <c r="T23" s="2">
        <v>1</v>
      </c>
      <c r="U23" s="2">
        <v>1</v>
      </c>
      <c r="V23" s="2">
        <v>2</v>
      </c>
      <c r="W23" s="2"/>
      <c r="X23" s="2">
        <v>3</v>
      </c>
      <c r="Y23" s="2">
        <v>1</v>
      </c>
      <c r="Z23" s="2">
        <v>0</v>
      </c>
      <c r="AA23" s="2">
        <v>0</v>
      </c>
      <c r="AB23" s="2">
        <v>3</v>
      </c>
      <c r="AC23" s="2">
        <v>3</v>
      </c>
      <c r="AD23" s="2">
        <v>3</v>
      </c>
      <c r="AE23" s="2"/>
      <c r="AF23" s="3"/>
    </row>
    <row r="24" spans="1:32" x14ac:dyDescent="0.35">
      <c r="A24" s="5" t="s">
        <v>201</v>
      </c>
      <c r="B24" s="5" t="s">
        <v>20</v>
      </c>
      <c r="C24" s="5">
        <v>3</v>
      </c>
      <c r="D24" s="5">
        <v>3</v>
      </c>
      <c r="E24" s="5">
        <v>0</v>
      </c>
      <c r="F24" s="5">
        <v>1</v>
      </c>
      <c r="G24" s="5">
        <v>2</v>
      </c>
      <c r="H24" s="5">
        <v>0</v>
      </c>
      <c r="I24" s="5">
        <v>0</v>
      </c>
      <c r="J24" s="5"/>
      <c r="K24" s="5">
        <v>2</v>
      </c>
      <c r="L24" s="5">
        <v>1</v>
      </c>
      <c r="M24" s="5">
        <v>1</v>
      </c>
      <c r="N24" s="5"/>
      <c r="O24" s="5">
        <v>4</v>
      </c>
      <c r="P24" s="5">
        <v>1</v>
      </c>
      <c r="Q24" s="5">
        <v>3</v>
      </c>
      <c r="R24" s="5">
        <v>4</v>
      </c>
      <c r="S24" s="5">
        <v>1</v>
      </c>
      <c r="T24" s="5">
        <v>3</v>
      </c>
      <c r="U24" s="5">
        <v>2</v>
      </c>
      <c r="V24" s="5">
        <v>1</v>
      </c>
      <c r="W24" s="5"/>
      <c r="X24" s="5">
        <v>3</v>
      </c>
      <c r="Y24" s="5">
        <v>3</v>
      </c>
      <c r="Z24" s="5">
        <v>3</v>
      </c>
      <c r="AA24" s="5">
        <v>2</v>
      </c>
      <c r="AB24" s="5">
        <v>4</v>
      </c>
      <c r="AC24" s="5">
        <v>4</v>
      </c>
      <c r="AD24" s="5">
        <v>4</v>
      </c>
      <c r="AE24" s="5"/>
      <c r="AF24" s="6"/>
    </row>
    <row r="25" spans="1:32" x14ac:dyDescent="0.35">
      <c r="A25" s="2" t="s">
        <v>161</v>
      </c>
      <c r="B25" s="2" t="s">
        <v>20</v>
      </c>
      <c r="C25" s="2">
        <v>3</v>
      </c>
      <c r="D25" s="2">
        <v>5</v>
      </c>
      <c r="E25" s="2">
        <v>1</v>
      </c>
      <c r="F25" s="2">
        <v>2</v>
      </c>
      <c r="G25" s="2">
        <v>4</v>
      </c>
      <c r="H25" s="2">
        <v>2</v>
      </c>
      <c r="I25" s="2">
        <v>0</v>
      </c>
      <c r="J25" s="2"/>
      <c r="K25" s="2">
        <v>3</v>
      </c>
      <c r="L25" s="2">
        <v>2</v>
      </c>
      <c r="M25" s="2">
        <v>4</v>
      </c>
      <c r="N25" s="2" t="s">
        <v>203</v>
      </c>
      <c r="O25" s="2">
        <v>5</v>
      </c>
      <c r="P25" s="2">
        <v>1</v>
      </c>
      <c r="Q25" s="2">
        <v>4</v>
      </c>
      <c r="R25" s="2">
        <v>5</v>
      </c>
      <c r="S25" s="2">
        <v>2</v>
      </c>
      <c r="T25" s="2">
        <v>1</v>
      </c>
      <c r="U25" s="2">
        <v>2</v>
      </c>
      <c r="V25" s="2">
        <v>3</v>
      </c>
      <c r="W25" s="2"/>
      <c r="X25" s="2">
        <v>3</v>
      </c>
      <c r="Y25" s="2">
        <v>2</v>
      </c>
      <c r="Z25" s="2">
        <v>4</v>
      </c>
      <c r="AA25" s="2">
        <v>1</v>
      </c>
      <c r="AB25" s="2">
        <v>2</v>
      </c>
      <c r="AC25" s="2">
        <v>5</v>
      </c>
      <c r="AD25" s="2">
        <v>5</v>
      </c>
      <c r="AE25" s="2"/>
      <c r="AF25" s="3"/>
    </row>
    <row r="26" spans="1:32" x14ac:dyDescent="0.35">
      <c r="A26" s="5" t="s">
        <v>99</v>
      </c>
      <c r="B26" s="5" t="s">
        <v>77</v>
      </c>
      <c r="C26" s="5">
        <v>3</v>
      </c>
      <c r="D26" s="5">
        <v>2</v>
      </c>
      <c r="E26" s="5">
        <v>0</v>
      </c>
      <c r="F26" s="5">
        <v>0</v>
      </c>
      <c r="G26" s="5">
        <v>3</v>
      </c>
      <c r="H26" s="5">
        <v>2</v>
      </c>
      <c r="I26" s="5">
        <v>4</v>
      </c>
      <c r="J26" s="5" t="s">
        <v>209</v>
      </c>
      <c r="K26" s="5">
        <v>5</v>
      </c>
      <c r="L26" s="5">
        <v>4</v>
      </c>
      <c r="M26" s="5">
        <v>1</v>
      </c>
      <c r="N26" s="5" t="s">
        <v>210</v>
      </c>
      <c r="O26" s="5">
        <v>3</v>
      </c>
      <c r="P26" s="5">
        <v>1</v>
      </c>
      <c r="Q26" s="5">
        <v>1</v>
      </c>
      <c r="R26" s="5">
        <v>3</v>
      </c>
      <c r="S26" s="5">
        <v>3</v>
      </c>
      <c r="T26" s="5">
        <v>3</v>
      </c>
      <c r="U26" s="5">
        <v>4</v>
      </c>
      <c r="V26" s="5">
        <v>1</v>
      </c>
      <c r="W26" s="5" t="s">
        <v>211</v>
      </c>
      <c r="X26" s="5">
        <v>2</v>
      </c>
      <c r="Y26" s="5">
        <v>2</v>
      </c>
      <c r="Z26" s="5">
        <v>3</v>
      </c>
      <c r="AA26" s="5">
        <v>2</v>
      </c>
      <c r="AB26" s="5">
        <v>2</v>
      </c>
      <c r="AC26" s="5">
        <v>2</v>
      </c>
      <c r="AD26" s="5">
        <v>3</v>
      </c>
      <c r="AE26" s="5" t="s">
        <v>212</v>
      </c>
      <c r="AF26" s="6"/>
    </row>
    <row r="27" spans="1:32" x14ac:dyDescent="0.35">
      <c r="A27" s="2" t="s">
        <v>176</v>
      </c>
      <c r="B27" s="2" t="s">
        <v>20</v>
      </c>
      <c r="C27" s="2">
        <v>3</v>
      </c>
      <c r="D27" s="2">
        <v>2</v>
      </c>
      <c r="E27" s="2">
        <v>1</v>
      </c>
      <c r="F27" s="2">
        <v>0</v>
      </c>
      <c r="G27" s="2">
        <v>1</v>
      </c>
      <c r="H27" s="2">
        <v>0</v>
      </c>
      <c r="I27" s="2">
        <v>0</v>
      </c>
      <c r="J27" s="2" t="s">
        <v>213</v>
      </c>
      <c r="K27" s="2">
        <v>1</v>
      </c>
      <c r="L27" s="2">
        <v>1</v>
      </c>
      <c r="M27" s="2">
        <v>2</v>
      </c>
      <c r="N27" s="2" t="s">
        <v>179</v>
      </c>
      <c r="O27" s="2">
        <v>2</v>
      </c>
      <c r="P27" s="2">
        <v>2</v>
      </c>
      <c r="Q27" s="2">
        <v>1</v>
      </c>
      <c r="R27" s="2">
        <v>1</v>
      </c>
      <c r="S27" s="2">
        <v>1</v>
      </c>
      <c r="T27" s="2">
        <v>1</v>
      </c>
      <c r="U27" s="2">
        <v>1</v>
      </c>
      <c r="V27" s="2">
        <v>2</v>
      </c>
      <c r="W27" s="2" t="s">
        <v>179</v>
      </c>
      <c r="X27" s="2">
        <v>3</v>
      </c>
      <c r="Y27" s="2">
        <v>2</v>
      </c>
      <c r="Z27" s="2">
        <v>1</v>
      </c>
      <c r="AA27" s="2">
        <v>1</v>
      </c>
      <c r="AB27" s="2">
        <v>4</v>
      </c>
      <c r="AC27" s="2">
        <v>4</v>
      </c>
      <c r="AD27" s="2">
        <v>4</v>
      </c>
      <c r="AE27" s="2"/>
      <c r="AF27" s="3"/>
    </row>
    <row r="28" spans="1:32" x14ac:dyDescent="0.35">
      <c r="A28" s="5" t="s">
        <v>215</v>
      </c>
      <c r="B28" s="5" t="s">
        <v>20</v>
      </c>
      <c r="C28" s="5">
        <v>3</v>
      </c>
      <c r="D28" s="5">
        <v>4</v>
      </c>
      <c r="E28" s="5">
        <v>3</v>
      </c>
      <c r="F28" s="5">
        <v>4</v>
      </c>
      <c r="G28" s="5">
        <v>4</v>
      </c>
      <c r="H28" s="5">
        <v>3</v>
      </c>
      <c r="I28" s="5">
        <v>0</v>
      </c>
      <c r="J28" s="5"/>
      <c r="K28" s="5">
        <v>2</v>
      </c>
      <c r="L28" s="5">
        <v>3</v>
      </c>
      <c r="M28" s="5">
        <v>3</v>
      </c>
      <c r="N28" s="5" t="s">
        <v>216</v>
      </c>
      <c r="O28" s="5">
        <v>2</v>
      </c>
      <c r="P28" s="5">
        <v>4</v>
      </c>
      <c r="Q28" s="5">
        <v>2</v>
      </c>
      <c r="R28" s="5">
        <v>4</v>
      </c>
      <c r="S28" s="5">
        <v>3</v>
      </c>
      <c r="T28" s="5">
        <v>2</v>
      </c>
      <c r="U28" s="5">
        <v>3</v>
      </c>
      <c r="V28" s="5">
        <v>4</v>
      </c>
      <c r="W28" s="5"/>
      <c r="X28" s="5">
        <v>3</v>
      </c>
      <c r="Y28" s="5">
        <v>3</v>
      </c>
      <c r="Z28" s="5">
        <v>3</v>
      </c>
      <c r="AA28" s="5">
        <v>3</v>
      </c>
      <c r="AB28" s="5">
        <v>4</v>
      </c>
      <c r="AC28" s="5">
        <v>4</v>
      </c>
      <c r="AD28" s="5">
        <v>4</v>
      </c>
      <c r="AE28" s="5"/>
      <c r="AF28" s="6"/>
    </row>
    <row r="29" spans="1:32" x14ac:dyDescent="0.35">
      <c r="A29" s="2" t="s">
        <v>159</v>
      </c>
      <c r="B29" s="2" t="s">
        <v>17</v>
      </c>
      <c r="C29" s="2">
        <v>3</v>
      </c>
      <c r="D29" s="2">
        <v>2</v>
      </c>
      <c r="E29" s="2">
        <v>2</v>
      </c>
      <c r="F29" s="2">
        <v>1</v>
      </c>
      <c r="G29" s="2">
        <v>2</v>
      </c>
      <c r="H29" s="2">
        <v>1</v>
      </c>
      <c r="I29" s="2">
        <v>0</v>
      </c>
      <c r="J29" s="2"/>
      <c r="K29" s="2">
        <v>3</v>
      </c>
      <c r="L29" s="2">
        <v>2</v>
      </c>
      <c r="M29" s="2">
        <v>2</v>
      </c>
      <c r="N29" s="2"/>
      <c r="O29" s="2">
        <v>3</v>
      </c>
      <c r="P29" s="2">
        <v>2</v>
      </c>
      <c r="Q29" s="2">
        <v>2</v>
      </c>
      <c r="R29" s="2">
        <v>3</v>
      </c>
      <c r="S29" s="2">
        <v>2</v>
      </c>
      <c r="T29" s="2">
        <v>2</v>
      </c>
      <c r="U29" s="2">
        <v>2</v>
      </c>
      <c r="V29" s="2">
        <v>3</v>
      </c>
      <c r="W29" s="2"/>
      <c r="X29" s="2">
        <v>1</v>
      </c>
      <c r="Y29" s="2">
        <v>1</v>
      </c>
      <c r="Z29" s="2">
        <v>1</v>
      </c>
      <c r="AA29" s="2">
        <v>2</v>
      </c>
      <c r="AB29" s="2">
        <v>4</v>
      </c>
      <c r="AC29" s="2">
        <v>1</v>
      </c>
      <c r="AD29" s="2">
        <v>2</v>
      </c>
      <c r="AE29" s="2"/>
      <c r="AF29" s="3"/>
    </row>
    <row r="30" spans="1:32" x14ac:dyDescent="0.35">
      <c r="A30" s="2" t="s">
        <v>143</v>
      </c>
      <c r="B30" s="2" t="s">
        <v>77</v>
      </c>
      <c r="C30" s="2">
        <v>3</v>
      </c>
      <c r="D30" s="2">
        <v>2</v>
      </c>
      <c r="E30" s="2">
        <v>1</v>
      </c>
      <c r="F30" s="2">
        <v>0</v>
      </c>
      <c r="G30" s="2">
        <v>2</v>
      </c>
      <c r="H30" s="2">
        <v>0</v>
      </c>
      <c r="I30" s="2">
        <v>0</v>
      </c>
      <c r="J30" s="2"/>
      <c r="K30" s="2">
        <v>3</v>
      </c>
      <c r="L30" s="2">
        <v>1</v>
      </c>
      <c r="M30" s="2">
        <v>1</v>
      </c>
      <c r="N30" s="2" t="s">
        <v>221</v>
      </c>
      <c r="O30" s="2">
        <v>2</v>
      </c>
      <c r="P30" s="2">
        <v>3</v>
      </c>
      <c r="Q30" s="2">
        <v>1</v>
      </c>
      <c r="R30" s="2">
        <v>3</v>
      </c>
      <c r="S30" s="2">
        <v>1</v>
      </c>
      <c r="T30" s="2">
        <v>2.5</v>
      </c>
      <c r="U30" s="2">
        <v>1</v>
      </c>
      <c r="V30" s="2">
        <v>1</v>
      </c>
      <c r="W30" s="2"/>
      <c r="X30" s="2">
        <v>3</v>
      </c>
      <c r="Y30" s="2">
        <v>3</v>
      </c>
      <c r="Z30" s="2">
        <v>2</v>
      </c>
      <c r="AA30" s="2">
        <v>1</v>
      </c>
      <c r="AB30" s="2">
        <v>3</v>
      </c>
      <c r="AC30" s="2">
        <v>3</v>
      </c>
      <c r="AD30" s="2">
        <v>3</v>
      </c>
      <c r="AE30" s="2" t="s">
        <v>222</v>
      </c>
      <c r="AF30" s="3"/>
    </row>
    <row r="31" spans="1:32" x14ac:dyDescent="0.35">
      <c r="A31" s="2" t="s">
        <v>127</v>
      </c>
      <c r="B31" s="2" t="s">
        <v>20</v>
      </c>
      <c r="C31" s="2">
        <v>3</v>
      </c>
      <c r="D31" s="2">
        <v>2</v>
      </c>
      <c r="E31" s="2">
        <v>2</v>
      </c>
      <c r="F31" s="2">
        <v>1</v>
      </c>
      <c r="G31" s="2">
        <v>1</v>
      </c>
      <c r="H31" s="2">
        <v>2</v>
      </c>
      <c r="I31" s="2">
        <v>3</v>
      </c>
      <c r="J31" s="2" t="s">
        <v>229</v>
      </c>
      <c r="K31" s="2">
        <v>3</v>
      </c>
      <c r="L31" s="2">
        <v>2</v>
      </c>
      <c r="M31" s="2">
        <v>1</v>
      </c>
      <c r="N31" s="2" t="s">
        <v>230</v>
      </c>
      <c r="O31" s="2">
        <v>3</v>
      </c>
      <c r="P31" s="2">
        <v>3</v>
      </c>
      <c r="Q31" s="2">
        <v>2</v>
      </c>
      <c r="R31" s="2">
        <v>2</v>
      </c>
      <c r="S31" s="2">
        <v>2</v>
      </c>
      <c r="T31" s="2">
        <v>3</v>
      </c>
      <c r="U31" s="2">
        <v>2</v>
      </c>
      <c r="V31" s="2">
        <v>1</v>
      </c>
      <c r="W31" s="2" t="s">
        <v>231</v>
      </c>
      <c r="X31" s="2">
        <v>3</v>
      </c>
      <c r="Y31" s="2">
        <v>4</v>
      </c>
      <c r="Z31" s="2">
        <v>3</v>
      </c>
      <c r="AA31" s="2">
        <v>3</v>
      </c>
      <c r="AB31" s="2">
        <v>3</v>
      </c>
      <c r="AC31" s="2">
        <v>3</v>
      </c>
      <c r="AD31" s="2">
        <v>3</v>
      </c>
      <c r="AE31" s="2" t="s">
        <v>232</v>
      </c>
      <c r="AF31" s="3"/>
    </row>
    <row r="32" spans="1:32" x14ac:dyDescent="0.35">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4"/>
    </row>
    <row r="33" spans="1:32" s="29" customFormat="1" ht="13.15" x14ac:dyDescent="0.4">
      <c r="A33" s="28" t="s">
        <v>295</v>
      </c>
      <c r="D33" s="30">
        <f>AVERAGE(D2:D32)</f>
        <v>2.4166666666666665</v>
      </c>
      <c r="E33" s="30">
        <f t="shared" ref="E33:AD33" si="0">AVERAGE(E2:E32)</f>
        <v>1.25</v>
      </c>
      <c r="F33" s="30">
        <f t="shared" si="0"/>
        <v>1.1333333333333333</v>
      </c>
      <c r="G33" s="30">
        <f t="shared" si="0"/>
        <v>1.8</v>
      </c>
      <c r="H33" s="30">
        <f t="shared" si="0"/>
        <v>0.8666666666666667</v>
      </c>
      <c r="I33" s="30">
        <f t="shared" si="0"/>
        <v>0.7</v>
      </c>
      <c r="J33" s="30"/>
      <c r="K33" s="30">
        <f t="shared" si="0"/>
        <v>2.2666666666666666</v>
      </c>
      <c r="L33" s="30">
        <f t="shared" si="0"/>
        <v>1.9666666666666666</v>
      </c>
      <c r="M33" s="30">
        <f t="shared" si="0"/>
        <v>2.0666666666666669</v>
      </c>
      <c r="N33" s="30"/>
      <c r="O33" s="30">
        <f t="shared" si="0"/>
        <v>2.5333333333333332</v>
      </c>
      <c r="P33" s="30">
        <f t="shared" si="0"/>
        <v>2.0666666666666669</v>
      </c>
      <c r="Q33" s="30">
        <f t="shared" si="0"/>
        <v>1.7666666666666666</v>
      </c>
      <c r="R33" s="30">
        <f t="shared" si="0"/>
        <v>2.2999999999999998</v>
      </c>
      <c r="S33" s="30">
        <f t="shared" si="0"/>
        <v>1.7</v>
      </c>
      <c r="T33" s="30">
        <f t="shared" si="0"/>
        <v>1.9833333333333334</v>
      </c>
      <c r="U33" s="30">
        <f t="shared" si="0"/>
        <v>1.9666666666666666</v>
      </c>
      <c r="V33" s="30">
        <f t="shared" si="0"/>
        <v>2.1666666666666665</v>
      </c>
      <c r="W33" s="30"/>
      <c r="X33" s="30">
        <f t="shared" si="0"/>
        <v>2.8666666666666667</v>
      </c>
      <c r="Y33" s="30">
        <f t="shared" si="0"/>
        <v>2.2000000000000002</v>
      </c>
      <c r="Z33" s="30">
        <f t="shared" si="0"/>
        <v>1.6</v>
      </c>
      <c r="AA33" s="30">
        <f t="shared" si="0"/>
        <v>1.7666666666666666</v>
      </c>
      <c r="AB33" s="30">
        <f t="shared" si="0"/>
        <v>3.3</v>
      </c>
      <c r="AC33" s="30">
        <f t="shared" si="0"/>
        <v>3.1</v>
      </c>
      <c r="AD33" s="30">
        <f t="shared" si="0"/>
        <v>3.2333333333333334</v>
      </c>
    </row>
    <row r="35" spans="1:32" ht="13.15" x14ac:dyDescent="0.35">
      <c r="A35" s="24" t="s">
        <v>77</v>
      </c>
    </row>
    <row r="36" spans="1:32" ht="51" x14ac:dyDescent="0.35">
      <c r="A36" s="10" t="s">
        <v>1</v>
      </c>
      <c r="B36" s="10" t="s">
        <v>2</v>
      </c>
      <c r="C36" s="10" t="s">
        <v>3</v>
      </c>
      <c r="D36" s="21" t="s">
        <v>287</v>
      </c>
      <c r="E36" s="21" t="s">
        <v>292</v>
      </c>
      <c r="F36" s="21" t="s">
        <v>293</v>
      </c>
      <c r="G36" s="21" t="s">
        <v>47</v>
      </c>
      <c r="H36" s="22" t="s">
        <v>288</v>
      </c>
      <c r="I36" s="22" t="s">
        <v>289</v>
      </c>
      <c r="J36" s="10" t="s">
        <v>4</v>
      </c>
      <c r="K36" s="22" t="s">
        <v>37</v>
      </c>
      <c r="L36" s="22" t="s">
        <v>290</v>
      </c>
      <c r="M36" s="22" t="s">
        <v>291</v>
      </c>
      <c r="N36" s="10" t="s">
        <v>5</v>
      </c>
      <c r="O36" s="21" t="s">
        <v>294</v>
      </c>
      <c r="P36" s="21" t="s">
        <v>292</v>
      </c>
      <c r="Q36" s="21" t="s">
        <v>293</v>
      </c>
      <c r="R36" s="21" t="s">
        <v>47</v>
      </c>
      <c r="S36" s="22" t="s">
        <v>288</v>
      </c>
      <c r="T36" s="22" t="s">
        <v>37</v>
      </c>
      <c r="U36" s="22" t="s">
        <v>290</v>
      </c>
      <c r="V36" s="22" t="s">
        <v>291</v>
      </c>
      <c r="W36" s="10" t="s">
        <v>6</v>
      </c>
      <c r="X36" s="11" t="s">
        <v>7</v>
      </c>
      <c r="Y36" s="10" t="s">
        <v>8</v>
      </c>
      <c r="Z36" s="10" t="s">
        <v>9</v>
      </c>
      <c r="AA36" s="10" t="s">
        <v>10</v>
      </c>
      <c r="AB36" s="10" t="s">
        <v>11</v>
      </c>
      <c r="AC36" s="10" t="s">
        <v>12</v>
      </c>
      <c r="AD36" s="10" t="s">
        <v>13</v>
      </c>
      <c r="AE36" s="11" t="s">
        <v>14</v>
      </c>
      <c r="AF36" s="12" t="s">
        <v>15</v>
      </c>
    </row>
    <row r="37" spans="1:32" x14ac:dyDescent="0.35">
      <c r="A37" s="2" t="s">
        <v>76</v>
      </c>
      <c r="B37" s="2" t="s">
        <v>77</v>
      </c>
      <c r="C37" s="2">
        <v>3</v>
      </c>
      <c r="D37" s="2">
        <v>2</v>
      </c>
      <c r="E37" s="2">
        <v>1</v>
      </c>
      <c r="F37" s="2">
        <v>0</v>
      </c>
      <c r="G37" s="2">
        <v>1</v>
      </c>
      <c r="H37" s="2">
        <v>0</v>
      </c>
      <c r="I37" s="2">
        <v>0</v>
      </c>
      <c r="J37" s="2" t="s">
        <v>162</v>
      </c>
      <c r="K37" s="2">
        <v>2</v>
      </c>
      <c r="L37" s="2">
        <v>1</v>
      </c>
      <c r="M37" s="2">
        <v>2</v>
      </c>
      <c r="N37" s="2"/>
      <c r="O37" s="2">
        <v>3</v>
      </c>
      <c r="P37" s="2">
        <v>1</v>
      </c>
      <c r="Q37" s="2">
        <v>1</v>
      </c>
      <c r="R37" s="2">
        <v>1</v>
      </c>
      <c r="S37" s="2">
        <v>1</v>
      </c>
      <c r="T37" s="2">
        <v>2</v>
      </c>
      <c r="U37" s="2">
        <v>1</v>
      </c>
      <c r="V37" s="2">
        <v>2</v>
      </c>
      <c r="W37" s="2"/>
      <c r="X37" s="2">
        <v>2</v>
      </c>
      <c r="Y37" s="2">
        <v>2</v>
      </c>
      <c r="Z37" s="2">
        <v>0</v>
      </c>
      <c r="AA37" s="2">
        <v>1</v>
      </c>
      <c r="AB37" s="2">
        <v>4</v>
      </c>
      <c r="AC37" s="2">
        <v>3</v>
      </c>
      <c r="AD37" s="2">
        <v>3</v>
      </c>
      <c r="AE37" s="2" t="s">
        <v>163</v>
      </c>
      <c r="AF37" s="3"/>
    </row>
    <row r="38" spans="1:32" x14ac:dyDescent="0.35">
      <c r="A38" s="2" t="s">
        <v>173</v>
      </c>
      <c r="B38" s="2" t="s">
        <v>77</v>
      </c>
      <c r="C38" s="2">
        <v>3</v>
      </c>
      <c r="D38" s="2">
        <v>1</v>
      </c>
      <c r="E38" s="2">
        <v>1</v>
      </c>
      <c r="F38" s="2">
        <v>0</v>
      </c>
      <c r="G38" s="2">
        <v>0</v>
      </c>
      <c r="H38" s="2">
        <v>0</v>
      </c>
      <c r="I38" s="2">
        <v>1</v>
      </c>
      <c r="J38" s="2" t="s">
        <v>189</v>
      </c>
      <c r="K38" s="2">
        <v>1</v>
      </c>
      <c r="L38" s="2">
        <v>1</v>
      </c>
      <c r="M38" s="2">
        <v>1</v>
      </c>
      <c r="N38" s="2"/>
      <c r="O38" s="2">
        <v>2</v>
      </c>
      <c r="P38" s="2">
        <v>1</v>
      </c>
      <c r="Q38" s="2">
        <v>1</v>
      </c>
      <c r="R38" s="2">
        <v>1</v>
      </c>
      <c r="S38" s="2">
        <v>1</v>
      </c>
      <c r="T38" s="2">
        <v>1</v>
      </c>
      <c r="U38" s="2">
        <v>1</v>
      </c>
      <c r="V38" s="2">
        <v>2</v>
      </c>
      <c r="W38" s="2"/>
      <c r="X38" s="2">
        <v>3</v>
      </c>
      <c r="Y38" s="2">
        <v>1</v>
      </c>
      <c r="Z38" s="2">
        <v>0</v>
      </c>
      <c r="AA38" s="2">
        <v>0</v>
      </c>
      <c r="AB38" s="2">
        <v>3</v>
      </c>
      <c r="AC38" s="2">
        <v>3</v>
      </c>
      <c r="AD38" s="2">
        <v>3</v>
      </c>
      <c r="AE38" s="2"/>
      <c r="AF38" s="3"/>
    </row>
    <row r="39" spans="1:32" x14ac:dyDescent="0.35">
      <c r="A39" s="5" t="s">
        <v>99</v>
      </c>
      <c r="B39" s="5" t="s">
        <v>77</v>
      </c>
      <c r="C39" s="5">
        <v>3</v>
      </c>
      <c r="D39" s="5">
        <v>2</v>
      </c>
      <c r="E39" s="5">
        <v>0</v>
      </c>
      <c r="F39" s="5">
        <v>0</v>
      </c>
      <c r="G39" s="5">
        <v>3</v>
      </c>
      <c r="H39" s="5">
        <v>2</v>
      </c>
      <c r="I39" s="5">
        <v>4</v>
      </c>
      <c r="J39" s="5" t="s">
        <v>209</v>
      </c>
      <c r="K39" s="5">
        <v>5</v>
      </c>
      <c r="L39" s="5">
        <v>4</v>
      </c>
      <c r="M39" s="5">
        <v>1</v>
      </c>
      <c r="N39" s="5" t="s">
        <v>210</v>
      </c>
      <c r="O39" s="5">
        <v>3</v>
      </c>
      <c r="P39" s="5">
        <v>1</v>
      </c>
      <c r="Q39" s="5">
        <v>1</v>
      </c>
      <c r="R39" s="5">
        <v>3</v>
      </c>
      <c r="S39" s="5">
        <v>3</v>
      </c>
      <c r="T39" s="5">
        <v>3</v>
      </c>
      <c r="U39" s="5">
        <v>4</v>
      </c>
      <c r="V39" s="5">
        <v>1</v>
      </c>
      <c r="W39" s="5" t="s">
        <v>211</v>
      </c>
      <c r="X39" s="5">
        <v>2</v>
      </c>
      <c r="Y39" s="5">
        <v>2</v>
      </c>
      <c r="Z39" s="5">
        <v>3</v>
      </c>
      <c r="AA39" s="5">
        <v>2</v>
      </c>
      <c r="AB39" s="5">
        <v>2</v>
      </c>
      <c r="AC39" s="5">
        <v>2</v>
      </c>
      <c r="AD39" s="5">
        <v>3</v>
      </c>
      <c r="AE39" s="5" t="s">
        <v>212</v>
      </c>
      <c r="AF39" s="6"/>
    </row>
    <row r="40" spans="1:32" x14ac:dyDescent="0.35">
      <c r="A40" s="2" t="s">
        <v>143</v>
      </c>
      <c r="B40" s="2" t="s">
        <v>77</v>
      </c>
      <c r="C40" s="2">
        <v>3</v>
      </c>
      <c r="D40" s="2">
        <v>2</v>
      </c>
      <c r="E40" s="2">
        <v>1</v>
      </c>
      <c r="F40" s="2">
        <v>0</v>
      </c>
      <c r="G40" s="2">
        <v>2</v>
      </c>
      <c r="H40" s="2">
        <v>0</v>
      </c>
      <c r="I40" s="2">
        <v>0</v>
      </c>
      <c r="J40" s="2"/>
      <c r="K40" s="2">
        <v>3</v>
      </c>
      <c r="L40" s="2">
        <v>1</v>
      </c>
      <c r="M40" s="2">
        <v>1</v>
      </c>
      <c r="N40" s="2" t="s">
        <v>221</v>
      </c>
      <c r="O40" s="2">
        <v>2</v>
      </c>
      <c r="P40" s="2">
        <v>3</v>
      </c>
      <c r="Q40" s="2">
        <v>1</v>
      </c>
      <c r="R40" s="2">
        <v>3</v>
      </c>
      <c r="S40" s="2">
        <v>1</v>
      </c>
      <c r="T40" s="2">
        <v>2.5</v>
      </c>
      <c r="U40" s="2">
        <v>1</v>
      </c>
      <c r="V40" s="2">
        <v>1</v>
      </c>
      <c r="W40" s="2"/>
      <c r="X40" s="2">
        <v>3</v>
      </c>
      <c r="Y40" s="2">
        <v>3</v>
      </c>
      <c r="Z40" s="2">
        <v>2</v>
      </c>
      <c r="AA40" s="2">
        <v>1</v>
      </c>
      <c r="AB40" s="2">
        <v>3</v>
      </c>
      <c r="AC40" s="2">
        <v>3</v>
      </c>
      <c r="AD40" s="2">
        <v>3</v>
      </c>
      <c r="AE40" s="2" t="s">
        <v>222</v>
      </c>
      <c r="AF40" s="3"/>
    </row>
    <row r="41" spans="1:32" s="29" customFormat="1" ht="13.15" x14ac:dyDescent="0.4">
      <c r="A41" s="31" t="s">
        <v>295</v>
      </c>
      <c r="D41" s="30">
        <f>AVERAGE(D37:D40)</f>
        <v>1.75</v>
      </c>
      <c r="E41" s="30">
        <f t="shared" ref="E41:AD41" si="1">AVERAGE(E37:E40)</f>
        <v>0.75</v>
      </c>
      <c r="F41" s="30">
        <f t="shared" si="1"/>
        <v>0</v>
      </c>
      <c r="G41" s="30">
        <f t="shared" si="1"/>
        <v>1.5</v>
      </c>
      <c r="H41" s="30">
        <f t="shared" si="1"/>
        <v>0.5</v>
      </c>
      <c r="I41" s="30">
        <f t="shared" si="1"/>
        <v>1.25</v>
      </c>
      <c r="J41" s="30"/>
      <c r="K41" s="30">
        <f t="shared" si="1"/>
        <v>2.75</v>
      </c>
      <c r="L41" s="30">
        <f t="shared" si="1"/>
        <v>1.75</v>
      </c>
      <c r="M41" s="30">
        <f t="shared" si="1"/>
        <v>1.25</v>
      </c>
      <c r="N41" s="30"/>
      <c r="O41" s="30">
        <f t="shared" si="1"/>
        <v>2.5</v>
      </c>
      <c r="P41" s="30">
        <f t="shared" si="1"/>
        <v>1.5</v>
      </c>
      <c r="Q41" s="30">
        <f t="shared" si="1"/>
        <v>1</v>
      </c>
      <c r="R41" s="30">
        <f t="shared" si="1"/>
        <v>2</v>
      </c>
      <c r="S41" s="30">
        <f t="shared" si="1"/>
        <v>1.5</v>
      </c>
      <c r="T41" s="30">
        <f t="shared" si="1"/>
        <v>2.125</v>
      </c>
      <c r="U41" s="30">
        <f t="shared" si="1"/>
        <v>1.75</v>
      </c>
      <c r="V41" s="30">
        <f t="shared" si="1"/>
        <v>1.5</v>
      </c>
      <c r="W41" s="30"/>
      <c r="X41" s="30">
        <f t="shared" si="1"/>
        <v>2.5</v>
      </c>
      <c r="Y41" s="30">
        <f t="shared" si="1"/>
        <v>2</v>
      </c>
      <c r="Z41" s="30">
        <f t="shared" si="1"/>
        <v>1.25</v>
      </c>
      <c r="AA41" s="30">
        <f t="shared" si="1"/>
        <v>1</v>
      </c>
      <c r="AB41" s="30">
        <f t="shared" si="1"/>
        <v>3</v>
      </c>
      <c r="AC41" s="30">
        <f t="shared" si="1"/>
        <v>2.75</v>
      </c>
      <c r="AD41" s="30">
        <f t="shared" si="1"/>
        <v>3</v>
      </c>
    </row>
    <row r="43" spans="1:32" ht="13.15" x14ac:dyDescent="0.35">
      <c r="A43" s="25" t="s">
        <v>17</v>
      </c>
    </row>
    <row r="44" spans="1:32" ht="51" x14ac:dyDescent="0.35">
      <c r="A44" s="10" t="s">
        <v>1</v>
      </c>
      <c r="B44" s="10" t="s">
        <v>2</v>
      </c>
      <c r="C44" s="10" t="s">
        <v>3</v>
      </c>
      <c r="D44" s="21" t="s">
        <v>287</v>
      </c>
      <c r="E44" s="21" t="s">
        <v>292</v>
      </c>
      <c r="F44" s="21" t="s">
        <v>293</v>
      </c>
      <c r="G44" s="21" t="s">
        <v>47</v>
      </c>
      <c r="H44" s="22" t="s">
        <v>288</v>
      </c>
      <c r="I44" s="22" t="s">
        <v>289</v>
      </c>
      <c r="J44" s="10" t="s">
        <v>4</v>
      </c>
      <c r="K44" s="22" t="s">
        <v>37</v>
      </c>
      <c r="L44" s="22" t="s">
        <v>290</v>
      </c>
      <c r="M44" s="22" t="s">
        <v>291</v>
      </c>
      <c r="N44" s="10" t="s">
        <v>5</v>
      </c>
      <c r="O44" s="21" t="s">
        <v>294</v>
      </c>
      <c r="P44" s="21" t="s">
        <v>292</v>
      </c>
      <c r="Q44" s="21" t="s">
        <v>293</v>
      </c>
      <c r="R44" s="21" t="s">
        <v>47</v>
      </c>
      <c r="S44" s="22" t="s">
        <v>288</v>
      </c>
      <c r="T44" s="22" t="s">
        <v>37</v>
      </c>
      <c r="U44" s="22" t="s">
        <v>290</v>
      </c>
      <c r="V44" s="22" t="s">
        <v>291</v>
      </c>
      <c r="W44" s="10" t="s">
        <v>6</v>
      </c>
      <c r="X44" s="11" t="s">
        <v>7</v>
      </c>
      <c r="Y44" s="10" t="s">
        <v>8</v>
      </c>
      <c r="Z44" s="10" t="s">
        <v>9</v>
      </c>
      <c r="AA44" s="10" t="s">
        <v>10</v>
      </c>
      <c r="AB44" s="10" t="s">
        <v>11</v>
      </c>
      <c r="AC44" s="10" t="s">
        <v>12</v>
      </c>
      <c r="AD44" s="10" t="s">
        <v>13</v>
      </c>
      <c r="AE44" s="11" t="s">
        <v>14</v>
      </c>
      <c r="AF44" s="12" t="s">
        <v>15</v>
      </c>
    </row>
    <row r="45" spans="1:32" x14ac:dyDescent="0.35">
      <c r="A45" s="5" t="s">
        <v>16</v>
      </c>
      <c r="B45" s="5" t="s">
        <v>17</v>
      </c>
      <c r="C45" s="5">
        <v>3</v>
      </c>
      <c r="D45" s="5">
        <v>1</v>
      </c>
      <c r="E45" s="5">
        <v>0</v>
      </c>
      <c r="F45" s="5">
        <v>0</v>
      </c>
      <c r="G45" s="5">
        <v>0</v>
      </c>
      <c r="H45" s="5">
        <v>0</v>
      </c>
      <c r="I45" s="5">
        <v>0</v>
      </c>
      <c r="J45" s="5" t="s">
        <v>66</v>
      </c>
      <c r="K45" s="5">
        <v>1</v>
      </c>
      <c r="L45" s="5">
        <v>1</v>
      </c>
      <c r="M45" s="5">
        <v>1</v>
      </c>
      <c r="N45" s="5" t="s">
        <v>67</v>
      </c>
      <c r="O45" s="5">
        <v>1</v>
      </c>
      <c r="P45" s="5">
        <v>1</v>
      </c>
      <c r="Q45" s="5">
        <v>1</v>
      </c>
      <c r="R45" s="5">
        <v>1</v>
      </c>
      <c r="S45" s="5">
        <v>1</v>
      </c>
      <c r="T45" s="5">
        <v>1</v>
      </c>
      <c r="U45" s="5">
        <v>1</v>
      </c>
      <c r="V45" s="5">
        <v>1</v>
      </c>
      <c r="W45" s="5"/>
      <c r="X45" s="5">
        <v>1</v>
      </c>
      <c r="Y45" s="5">
        <v>0</v>
      </c>
      <c r="Z45" s="5">
        <v>0</v>
      </c>
      <c r="AA45" s="5">
        <v>0</v>
      </c>
      <c r="AB45" s="5">
        <v>1</v>
      </c>
      <c r="AC45" s="5">
        <v>1</v>
      </c>
      <c r="AD45" s="5">
        <v>1</v>
      </c>
      <c r="AE45" s="5" t="s">
        <v>68</v>
      </c>
      <c r="AF45" s="6"/>
    </row>
    <row r="46" spans="1:32" x14ac:dyDescent="0.35">
      <c r="A46" s="5" t="s">
        <v>80</v>
      </c>
      <c r="B46" s="5" t="s">
        <v>17</v>
      </c>
      <c r="C46" s="5">
        <v>3</v>
      </c>
      <c r="D46" s="5">
        <v>2</v>
      </c>
      <c r="E46" s="5">
        <v>3</v>
      </c>
      <c r="F46" s="5">
        <v>0</v>
      </c>
      <c r="G46" s="5">
        <v>1</v>
      </c>
      <c r="H46" s="5">
        <v>0</v>
      </c>
      <c r="I46" s="5">
        <v>0</v>
      </c>
      <c r="J46" s="5"/>
      <c r="K46" s="5">
        <v>3</v>
      </c>
      <c r="L46" s="5">
        <v>2</v>
      </c>
      <c r="M46" s="5">
        <v>1</v>
      </c>
      <c r="N46" s="5"/>
      <c r="O46" s="5">
        <v>5</v>
      </c>
      <c r="P46" s="5">
        <v>4</v>
      </c>
      <c r="Q46" s="5">
        <v>1</v>
      </c>
      <c r="R46" s="5">
        <v>1</v>
      </c>
      <c r="S46" s="5">
        <v>1</v>
      </c>
      <c r="T46" s="5">
        <v>1</v>
      </c>
      <c r="U46" s="5">
        <v>1</v>
      </c>
      <c r="V46" s="5">
        <v>3</v>
      </c>
      <c r="W46" s="5"/>
      <c r="X46" s="5">
        <v>2</v>
      </c>
      <c r="Y46" s="5">
        <v>1</v>
      </c>
      <c r="Z46" s="5">
        <v>2</v>
      </c>
      <c r="AA46" s="5">
        <v>1</v>
      </c>
      <c r="AB46" s="5">
        <v>4</v>
      </c>
      <c r="AC46" s="5">
        <v>2</v>
      </c>
      <c r="AD46" s="5">
        <v>3</v>
      </c>
      <c r="AE46" s="5"/>
      <c r="AF46" s="6"/>
    </row>
    <row r="47" spans="1:32" x14ac:dyDescent="0.35">
      <c r="A47" s="2" t="s">
        <v>45</v>
      </c>
      <c r="B47" s="2" t="s">
        <v>17</v>
      </c>
      <c r="C47" s="2">
        <v>3</v>
      </c>
      <c r="D47" s="2">
        <v>4</v>
      </c>
      <c r="E47" s="2">
        <v>0</v>
      </c>
      <c r="F47" s="2">
        <v>1</v>
      </c>
      <c r="G47" s="2">
        <v>1</v>
      </c>
      <c r="H47" s="2">
        <v>0</v>
      </c>
      <c r="I47" s="2">
        <v>3</v>
      </c>
      <c r="J47" s="2" t="s">
        <v>37</v>
      </c>
      <c r="K47" s="2">
        <v>4</v>
      </c>
      <c r="L47" s="2">
        <v>3</v>
      </c>
      <c r="M47" s="2">
        <v>3</v>
      </c>
      <c r="N47" s="2" t="s">
        <v>104</v>
      </c>
      <c r="O47" s="2">
        <v>1</v>
      </c>
      <c r="P47" s="2">
        <v>1</v>
      </c>
      <c r="Q47" s="2">
        <v>1</v>
      </c>
      <c r="R47" s="2">
        <v>2</v>
      </c>
      <c r="S47" s="2">
        <v>3</v>
      </c>
      <c r="T47" s="2">
        <v>4</v>
      </c>
      <c r="U47" s="2">
        <v>3</v>
      </c>
      <c r="V47" s="2">
        <v>3</v>
      </c>
      <c r="W47" s="2" t="s">
        <v>37</v>
      </c>
      <c r="X47" s="2">
        <v>4</v>
      </c>
      <c r="Y47" s="2">
        <v>2</v>
      </c>
      <c r="Z47" s="2">
        <v>1</v>
      </c>
      <c r="AA47" s="2">
        <v>1</v>
      </c>
      <c r="AB47" s="2">
        <v>4</v>
      </c>
      <c r="AC47" s="2">
        <v>4</v>
      </c>
      <c r="AD47" s="2">
        <v>4</v>
      </c>
      <c r="AE47" s="2" t="s">
        <v>105</v>
      </c>
      <c r="AF47" s="3"/>
    </row>
    <row r="48" spans="1:32" x14ac:dyDescent="0.35">
      <c r="A48" s="2" t="s">
        <v>75</v>
      </c>
      <c r="B48" s="2" t="s">
        <v>17</v>
      </c>
      <c r="C48" s="2">
        <v>3</v>
      </c>
      <c r="D48" s="2">
        <v>2</v>
      </c>
      <c r="E48" s="2">
        <v>1</v>
      </c>
      <c r="F48" s="2">
        <v>0</v>
      </c>
      <c r="G48" s="2">
        <v>2</v>
      </c>
      <c r="H48" s="2">
        <v>1</v>
      </c>
      <c r="I48" s="2">
        <v>0</v>
      </c>
      <c r="J48" s="2"/>
      <c r="K48" s="2">
        <v>3</v>
      </c>
      <c r="L48" s="2">
        <v>2</v>
      </c>
      <c r="M48" s="2">
        <v>3</v>
      </c>
      <c r="N48" s="2"/>
      <c r="O48" s="2">
        <v>3</v>
      </c>
      <c r="P48" s="2">
        <v>1</v>
      </c>
      <c r="Q48" s="2">
        <v>1</v>
      </c>
      <c r="R48" s="2">
        <v>2</v>
      </c>
      <c r="S48" s="2">
        <v>1</v>
      </c>
      <c r="T48" s="2">
        <v>2</v>
      </c>
      <c r="U48" s="2">
        <v>2</v>
      </c>
      <c r="V48" s="2">
        <v>4</v>
      </c>
      <c r="W48" s="2"/>
      <c r="X48" s="2">
        <v>3</v>
      </c>
      <c r="Y48" s="2">
        <v>2</v>
      </c>
      <c r="Z48" s="2">
        <v>2</v>
      </c>
      <c r="AA48" s="2">
        <v>2</v>
      </c>
      <c r="AB48" s="2">
        <v>2</v>
      </c>
      <c r="AC48" s="2">
        <v>2</v>
      </c>
      <c r="AD48" s="2">
        <v>3</v>
      </c>
      <c r="AE48" s="2">
        <v>5</v>
      </c>
      <c r="AF48" s="3" t="s">
        <v>106</v>
      </c>
    </row>
    <row r="49" spans="1:32" x14ac:dyDescent="0.35">
      <c r="A49" s="2" t="s">
        <v>49</v>
      </c>
      <c r="B49" s="2" t="s">
        <v>17</v>
      </c>
      <c r="C49" s="2">
        <v>3</v>
      </c>
      <c r="D49" s="2">
        <v>2</v>
      </c>
      <c r="E49" s="2">
        <v>0</v>
      </c>
      <c r="F49" s="2">
        <v>1</v>
      </c>
      <c r="G49" s="2">
        <v>0</v>
      </c>
      <c r="H49" s="2">
        <v>0</v>
      </c>
      <c r="I49" s="2">
        <v>0</v>
      </c>
      <c r="J49" s="2" t="s">
        <v>50</v>
      </c>
      <c r="K49" s="2">
        <v>2</v>
      </c>
      <c r="L49" s="2">
        <v>1</v>
      </c>
      <c r="M49" s="2">
        <v>1</v>
      </c>
      <c r="N49" s="2" t="s">
        <v>51</v>
      </c>
      <c r="O49" s="2">
        <v>1</v>
      </c>
      <c r="P49" s="2">
        <v>1</v>
      </c>
      <c r="Q49" s="2">
        <v>2</v>
      </c>
      <c r="R49" s="2">
        <v>1</v>
      </c>
      <c r="S49" s="2">
        <v>1</v>
      </c>
      <c r="T49" s="2">
        <v>2</v>
      </c>
      <c r="U49" s="2">
        <v>1</v>
      </c>
      <c r="V49" s="2">
        <v>1</v>
      </c>
      <c r="W49" s="2" t="s">
        <v>169</v>
      </c>
      <c r="X49" s="2">
        <v>1</v>
      </c>
      <c r="Y49" s="2">
        <v>0</v>
      </c>
      <c r="Z49" s="2">
        <v>0</v>
      </c>
      <c r="AA49" s="2">
        <v>0</v>
      </c>
      <c r="AB49" s="2">
        <v>1</v>
      </c>
      <c r="AC49" s="2">
        <v>1</v>
      </c>
      <c r="AD49" s="2">
        <v>1</v>
      </c>
      <c r="AE49" s="2"/>
      <c r="AF49" s="3"/>
    </row>
    <row r="50" spans="1:32" x14ac:dyDescent="0.35">
      <c r="A50" s="5" t="s">
        <v>180</v>
      </c>
      <c r="B50" s="5" t="s">
        <v>17</v>
      </c>
      <c r="C50" s="5">
        <v>3</v>
      </c>
      <c r="D50" s="5">
        <v>3</v>
      </c>
      <c r="E50" s="5">
        <v>2</v>
      </c>
      <c r="F50" s="5">
        <v>1</v>
      </c>
      <c r="G50" s="5">
        <v>1</v>
      </c>
      <c r="H50" s="5">
        <v>0</v>
      </c>
      <c r="I50" s="5">
        <v>2</v>
      </c>
      <c r="J50" s="5" t="s">
        <v>181</v>
      </c>
      <c r="K50" s="5">
        <v>2</v>
      </c>
      <c r="L50" s="5">
        <v>2</v>
      </c>
      <c r="M50" s="5">
        <v>2</v>
      </c>
      <c r="N50" s="5"/>
      <c r="O50" s="5">
        <v>3</v>
      </c>
      <c r="P50" s="5">
        <v>2</v>
      </c>
      <c r="Q50" s="5">
        <v>2</v>
      </c>
      <c r="R50" s="5">
        <v>2</v>
      </c>
      <c r="S50" s="5">
        <v>2</v>
      </c>
      <c r="T50" s="5">
        <v>2</v>
      </c>
      <c r="U50" s="5">
        <v>1</v>
      </c>
      <c r="V50" s="5">
        <v>2</v>
      </c>
      <c r="W50" s="5" t="s">
        <v>182</v>
      </c>
      <c r="X50" s="5">
        <v>3</v>
      </c>
      <c r="Y50" s="5">
        <v>1</v>
      </c>
      <c r="Z50" s="5">
        <v>1</v>
      </c>
      <c r="AA50" s="5">
        <v>2</v>
      </c>
      <c r="AB50" s="5">
        <v>3</v>
      </c>
      <c r="AC50" s="5">
        <v>3</v>
      </c>
      <c r="AD50" s="5">
        <v>3</v>
      </c>
      <c r="AE50" s="5"/>
      <c r="AF50" s="6"/>
    </row>
    <row r="51" spans="1:32" x14ac:dyDescent="0.35">
      <c r="A51" s="2" t="s">
        <v>159</v>
      </c>
      <c r="B51" s="2" t="s">
        <v>17</v>
      </c>
      <c r="C51" s="2">
        <v>3</v>
      </c>
      <c r="D51" s="2">
        <v>2</v>
      </c>
      <c r="E51" s="2">
        <v>2</v>
      </c>
      <c r="F51" s="2">
        <v>1</v>
      </c>
      <c r="G51" s="2">
        <v>2</v>
      </c>
      <c r="H51" s="2">
        <v>1</v>
      </c>
      <c r="I51" s="2">
        <v>0</v>
      </c>
      <c r="J51" s="2"/>
      <c r="K51" s="2">
        <v>3</v>
      </c>
      <c r="L51" s="2">
        <v>2</v>
      </c>
      <c r="M51" s="2">
        <v>2</v>
      </c>
      <c r="N51" s="2"/>
      <c r="O51" s="2">
        <v>3</v>
      </c>
      <c r="P51" s="2">
        <v>2</v>
      </c>
      <c r="Q51" s="2">
        <v>2</v>
      </c>
      <c r="R51" s="2">
        <v>3</v>
      </c>
      <c r="S51" s="2">
        <v>2</v>
      </c>
      <c r="T51" s="2">
        <v>2</v>
      </c>
      <c r="U51" s="2">
        <v>2</v>
      </c>
      <c r="V51" s="2">
        <v>3</v>
      </c>
      <c r="W51" s="2"/>
      <c r="X51" s="2">
        <v>1</v>
      </c>
      <c r="Y51" s="2">
        <v>1</v>
      </c>
      <c r="Z51" s="2">
        <v>1</v>
      </c>
      <c r="AA51" s="2">
        <v>2</v>
      </c>
      <c r="AB51" s="2">
        <v>4</v>
      </c>
      <c r="AC51" s="2">
        <v>1</v>
      </c>
      <c r="AD51" s="2">
        <v>2</v>
      </c>
      <c r="AE51" s="2"/>
      <c r="AF51" s="3"/>
    </row>
    <row r="52" spans="1:32" s="29" customFormat="1" ht="13.15" x14ac:dyDescent="0.4">
      <c r="A52" s="28" t="s">
        <v>295</v>
      </c>
      <c r="D52" s="30">
        <f>AVERAGE(D45:D51)</f>
        <v>2.2857142857142856</v>
      </c>
      <c r="E52" s="30">
        <f t="shared" ref="E52:AE52" si="2">AVERAGE(E45:E51)</f>
        <v>1.1428571428571428</v>
      </c>
      <c r="F52" s="30">
        <f t="shared" si="2"/>
        <v>0.5714285714285714</v>
      </c>
      <c r="G52" s="30">
        <f t="shared" si="2"/>
        <v>1</v>
      </c>
      <c r="H52" s="30">
        <f t="shared" si="2"/>
        <v>0.2857142857142857</v>
      </c>
      <c r="I52" s="30">
        <f t="shared" si="2"/>
        <v>0.7142857142857143</v>
      </c>
      <c r="J52" s="30"/>
      <c r="K52" s="30">
        <f t="shared" si="2"/>
        <v>2.5714285714285716</v>
      </c>
      <c r="L52" s="30">
        <f t="shared" si="2"/>
        <v>1.8571428571428572</v>
      </c>
      <c r="M52" s="30">
        <f t="shared" si="2"/>
        <v>1.8571428571428572</v>
      </c>
      <c r="N52" s="30"/>
      <c r="O52" s="30">
        <f t="shared" si="2"/>
        <v>2.4285714285714284</v>
      </c>
      <c r="P52" s="30">
        <f t="shared" si="2"/>
        <v>1.7142857142857142</v>
      </c>
      <c r="Q52" s="30">
        <f t="shared" si="2"/>
        <v>1.4285714285714286</v>
      </c>
      <c r="R52" s="30">
        <f t="shared" si="2"/>
        <v>1.7142857142857142</v>
      </c>
      <c r="S52" s="30">
        <f t="shared" si="2"/>
        <v>1.5714285714285714</v>
      </c>
      <c r="T52" s="30">
        <f t="shared" si="2"/>
        <v>2</v>
      </c>
      <c r="U52" s="30">
        <f t="shared" si="2"/>
        <v>1.5714285714285714</v>
      </c>
      <c r="V52" s="30">
        <f t="shared" si="2"/>
        <v>2.4285714285714284</v>
      </c>
      <c r="W52" s="30"/>
      <c r="X52" s="30">
        <f t="shared" si="2"/>
        <v>2.1428571428571428</v>
      </c>
      <c r="Y52" s="30">
        <f t="shared" si="2"/>
        <v>1</v>
      </c>
      <c r="Z52" s="30">
        <f t="shared" si="2"/>
        <v>1</v>
      </c>
      <c r="AA52" s="30">
        <f t="shared" si="2"/>
        <v>1.1428571428571428</v>
      </c>
      <c r="AB52" s="30">
        <f t="shared" si="2"/>
        <v>2.7142857142857144</v>
      </c>
      <c r="AC52" s="30">
        <f t="shared" si="2"/>
        <v>2</v>
      </c>
      <c r="AD52" s="30">
        <f t="shared" si="2"/>
        <v>2.4285714285714284</v>
      </c>
      <c r="AE52" s="30">
        <f t="shared" si="2"/>
        <v>5</v>
      </c>
    </row>
    <row r="54" spans="1:32" ht="13.15" x14ac:dyDescent="0.35">
      <c r="A54" s="26" t="s">
        <v>20</v>
      </c>
    </row>
    <row r="55" spans="1:32" ht="51" x14ac:dyDescent="0.35">
      <c r="A55" s="10" t="s">
        <v>1</v>
      </c>
      <c r="B55" s="10" t="s">
        <v>2</v>
      </c>
      <c r="C55" s="10" t="s">
        <v>3</v>
      </c>
      <c r="D55" s="21" t="s">
        <v>287</v>
      </c>
      <c r="E55" s="21" t="s">
        <v>292</v>
      </c>
      <c r="F55" s="21" t="s">
        <v>293</v>
      </c>
      <c r="G55" s="21" t="s">
        <v>47</v>
      </c>
      <c r="H55" s="22" t="s">
        <v>288</v>
      </c>
      <c r="I55" s="22" t="s">
        <v>289</v>
      </c>
      <c r="J55" s="10" t="s">
        <v>4</v>
      </c>
      <c r="K55" s="22" t="s">
        <v>37</v>
      </c>
      <c r="L55" s="22" t="s">
        <v>290</v>
      </c>
      <c r="M55" s="22" t="s">
        <v>291</v>
      </c>
      <c r="N55" s="10" t="s">
        <v>5</v>
      </c>
      <c r="O55" s="21" t="s">
        <v>294</v>
      </c>
      <c r="P55" s="21" t="s">
        <v>292</v>
      </c>
      <c r="Q55" s="21" t="s">
        <v>293</v>
      </c>
      <c r="R55" s="21" t="s">
        <v>47</v>
      </c>
      <c r="S55" s="22" t="s">
        <v>288</v>
      </c>
      <c r="T55" s="22" t="s">
        <v>37</v>
      </c>
      <c r="U55" s="22" t="s">
        <v>290</v>
      </c>
      <c r="V55" s="22" t="s">
        <v>291</v>
      </c>
      <c r="W55" s="10" t="s">
        <v>6</v>
      </c>
      <c r="X55" s="11" t="s">
        <v>7</v>
      </c>
      <c r="Y55" s="10" t="s">
        <v>8</v>
      </c>
      <c r="Z55" s="10" t="s">
        <v>9</v>
      </c>
      <c r="AA55" s="10" t="s">
        <v>10</v>
      </c>
      <c r="AB55" s="10" t="s">
        <v>11</v>
      </c>
      <c r="AC55" s="10" t="s">
        <v>12</v>
      </c>
      <c r="AD55" s="10" t="s">
        <v>13</v>
      </c>
      <c r="AE55" s="11" t="s">
        <v>14</v>
      </c>
      <c r="AF55" s="12" t="s">
        <v>15</v>
      </c>
    </row>
    <row r="56" spans="1:32" x14ac:dyDescent="0.35">
      <c r="A56" s="5" t="s">
        <v>23</v>
      </c>
      <c r="B56" s="5" t="s">
        <v>20</v>
      </c>
      <c r="C56" s="5">
        <v>3</v>
      </c>
      <c r="D56" s="5">
        <v>4</v>
      </c>
      <c r="E56" s="5">
        <v>2</v>
      </c>
      <c r="F56" s="5">
        <v>0</v>
      </c>
      <c r="G56" s="5">
        <v>4</v>
      </c>
      <c r="H56" s="5">
        <v>0</v>
      </c>
      <c r="I56" s="5">
        <v>0</v>
      </c>
      <c r="J56" s="5"/>
      <c r="K56" s="5">
        <v>3</v>
      </c>
      <c r="L56" s="5">
        <v>4</v>
      </c>
      <c r="M56" s="5">
        <v>4</v>
      </c>
      <c r="N56" s="5"/>
      <c r="O56" s="5">
        <v>4</v>
      </c>
      <c r="P56" s="5">
        <v>3</v>
      </c>
      <c r="Q56" s="5">
        <v>1</v>
      </c>
      <c r="R56" s="5">
        <v>4</v>
      </c>
      <c r="S56" s="5">
        <v>3</v>
      </c>
      <c r="T56" s="5">
        <v>3</v>
      </c>
      <c r="U56" s="5">
        <v>2</v>
      </c>
      <c r="V56" s="5">
        <v>4</v>
      </c>
      <c r="W56" s="5"/>
      <c r="X56" s="5">
        <v>3</v>
      </c>
      <c r="Y56" s="5">
        <v>4</v>
      </c>
      <c r="Z56" s="5">
        <v>4</v>
      </c>
      <c r="AA56" s="5">
        <v>3</v>
      </c>
      <c r="AB56" s="5">
        <v>4</v>
      </c>
      <c r="AC56" s="5">
        <v>4</v>
      </c>
      <c r="AD56" s="5">
        <v>4</v>
      </c>
      <c r="AE56" s="5">
        <v>6.9</v>
      </c>
      <c r="AF56" s="6"/>
    </row>
    <row r="57" spans="1:32" x14ac:dyDescent="0.35">
      <c r="A57" s="2" t="s">
        <v>30</v>
      </c>
      <c r="B57" s="2" t="s">
        <v>20</v>
      </c>
      <c r="C57" s="2">
        <v>3</v>
      </c>
      <c r="D57" s="2">
        <v>4</v>
      </c>
      <c r="E57" s="2">
        <v>3.5</v>
      </c>
      <c r="F57" s="2">
        <v>2</v>
      </c>
      <c r="G57" s="2">
        <v>4</v>
      </c>
      <c r="H57" s="2">
        <v>2</v>
      </c>
      <c r="I57" s="2">
        <v>0</v>
      </c>
      <c r="J57" s="2"/>
      <c r="K57" s="2">
        <v>5</v>
      </c>
      <c r="L57" s="2">
        <v>3</v>
      </c>
      <c r="M57" s="2">
        <v>3</v>
      </c>
      <c r="N57" s="2" t="s">
        <v>70</v>
      </c>
      <c r="O57" s="2">
        <v>3</v>
      </c>
      <c r="P57" s="2">
        <v>5</v>
      </c>
      <c r="Q57" s="2">
        <v>3</v>
      </c>
      <c r="R57" s="2">
        <v>4</v>
      </c>
      <c r="S57" s="2">
        <v>1</v>
      </c>
      <c r="T57" s="2">
        <v>4</v>
      </c>
      <c r="U57" s="2">
        <v>3</v>
      </c>
      <c r="V57" s="2">
        <v>2</v>
      </c>
      <c r="W57" s="2"/>
      <c r="X57" s="2">
        <v>5</v>
      </c>
      <c r="Y57" s="2">
        <v>3</v>
      </c>
      <c r="Z57" s="2">
        <v>2</v>
      </c>
      <c r="AA57" s="2">
        <v>3</v>
      </c>
      <c r="AB57" s="2">
        <v>5</v>
      </c>
      <c r="AC57" s="2">
        <v>5</v>
      </c>
      <c r="AD57" s="2">
        <v>4</v>
      </c>
      <c r="AE57" s="2"/>
      <c r="AF57" s="3"/>
    </row>
    <row r="58" spans="1:32" x14ac:dyDescent="0.35">
      <c r="A58" s="2" t="s">
        <v>44</v>
      </c>
      <c r="B58" s="2" t="s">
        <v>20</v>
      </c>
      <c r="C58" s="2">
        <v>3</v>
      </c>
      <c r="D58" s="2">
        <v>1</v>
      </c>
      <c r="E58" s="2">
        <v>0</v>
      </c>
      <c r="F58" s="2">
        <v>0</v>
      </c>
      <c r="G58" s="2">
        <v>0</v>
      </c>
      <c r="H58" s="2">
        <v>0</v>
      </c>
      <c r="I58" s="2">
        <v>0</v>
      </c>
      <c r="J58" s="2" t="s">
        <v>110</v>
      </c>
      <c r="K58" s="2">
        <v>1</v>
      </c>
      <c r="L58" s="2">
        <v>1</v>
      </c>
      <c r="M58" s="2">
        <v>1</v>
      </c>
      <c r="N58" s="2"/>
      <c r="O58" s="2">
        <v>2</v>
      </c>
      <c r="P58" s="2">
        <v>1</v>
      </c>
      <c r="Q58" s="2">
        <v>1</v>
      </c>
      <c r="R58" s="2">
        <v>1</v>
      </c>
      <c r="S58" s="2">
        <v>1</v>
      </c>
      <c r="T58" s="2">
        <v>2</v>
      </c>
      <c r="U58" s="2">
        <v>3</v>
      </c>
      <c r="V58" s="2">
        <v>1</v>
      </c>
      <c r="W58" s="2"/>
      <c r="X58" s="2">
        <v>2</v>
      </c>
      <c r="Y58" s="2">
        <v>1</v>
      </c>
      <c r="Z58" s="2">
        <v>1</v>
      </c>
      <c r="AA58" s="2">
        <v>0</v>
      </c>
      <c r="AB58" s="2">
        <v>2</v>
      </c>
      <c r="AC58" s="2">
        <v>2</v>
      </c>
      <c r="AD58" s="2">
        <v>2</v>
      </c>
      <c r="AE58" s="2"/>
      <c r="AF58" s="3"/>
    </row>
    <row r="59" spans="1:32" x14ac:dyDescent="0.35">
      <c r="A59" s="2" t="s">
        <v>24</v>
      </c>
      <c r="B59" s="2" t="s">
        <v>20</v>
      </c>
      <c r="C59" s="2">
        <v>3</v>
      </c>
      <c r="D59" s="2">
        <v>3</v>
      </c>
      <c r="E59" s="2">
        <v>1</v>
      </c>
      <c r="F59" s="2">
        <v>1</v>
      </c>
      <c r="G59" s="2">
        <v>2</v>
      </c>
      <c r="H59" s="2">
        <v>1</v>
      </c>
      <c r="I59" s="2">
        <v>4</v>
      </c>
      <c r="J59" s="2" t="s">
        <v>119</v>
      </c>
      <c r="K59" s="2">
        <v>1</v>
      </c>
      <c r="L59" s="2">
        <v>2</v>
      </c>
      <c r="M59" s="2">
        <v>3</v>
      </c>
      <c r="N59" s="2" t="s">
        <v>120</v>
      </c>
      <c r="O59" s="2">
        <v>1</v>
      </c>
      <c r="P59" s="2">
        <v>2</v>
      </c>
      <c r="Q59" s="2">
        <v>1</v>
      </c>
      <c r="R59" s="2">
        <v>2</v>
      </c>
      <c r="S59" s="2">
        <v>3</v>
      </c>
      <c r="T59" s="2">
        <v>2</v>
      </c>
      <c r="U59" s="2">
        <v>2</v>
      </c>
      <c r="V59" s="2">
        <v>4</v>
      </c>
      <c r="W59" s="2" t="s">
        <v>121</v>
      </c>
      <c r="X59" s="2">
        <v>3</v>
      </c>
      <c r="Y59" s="2">
        <v>4</v>
      </c>
      <c r="Z59" s="2">
        <v>1</v>
      </c>
      <c r="AA59" s="2">
        <v>1</v>
      </c>
      <c r="AB59" s="2">
        <v>3</v>
      </c>
      <c r="AC59" s="2">
        <v>2</v>
      </c>
      <c r="AD59" s="2">
        <v>3</v>
      </c>
      <c r="AE59" s="2" t="s">
        <v>122</v>
      </c>
      <c r="AF59" s="3"/>
    </row>
    <row r="60" spans="1:32" x14ac:dyDescent="0.35">
      <c r="A60" s="2" t="s">
        <v>133</v>
      </c>
      <c r="B60" s="2" t="s">
        <v>20</v>
      </c>
      <c r="C60" s="2">
        <v>3</v>
      </c>
      <c r="D60" s="2">
        <v>1</v>
      </c>
      <c r="E60" s="2">
        <v>0</v>
      </c>
      <c r="F60" s="2">
        <v>1</v>
      </c>
      <c r="G60" s="2">
        <v>1</v>
      </c>
      <c r="H60" s="2">
        <v>0</v>
      </c>
      <c r="I60" s="2">
        <v>0</v>
      </c>
      <c r="J60" s="2" t="s">
        <v>134</v>
      </c>
      <c r="K60" s="2">
        <v>2</v>
      </c>
      <c r="L60" s="2">
        <v>1</v>
      </c>
      <c r="M60" s="2">
        <v>2</v>
      </c>
      <c r="N60" s="2"/>
      <c r="O60" s="2">
        <v>1</v>
      </c>
      <c r="P60" s="2">
        <v>1</v>
      </c>
      <c r="Q60" s="2">
        <v>2</v>
      </c>
      <c r="R60" s="2">
        <v>1</v>
      </c>
      <c r="S60" s="2">
        <v>1</v>
      </c>
      <c r="T60" s="2">
        <v>1</v>
      </c>
      <c r="U60" s="2">
        <v>1</v>
      </c>
      <c r="V60" s="2">
        <v>2</v>
      </c>
      <c r="W60" s="2"/>
      <c r="X60" s="2">
        <v>3</v>
      </c>
      <c r="Y60" s="2">
        <v>2</v>
      </c>
      <c r="Z60" s="2">
        <v>1</v>
      </c>
      <c r="AA60" s="2">
        <v>0</v>
      </c>
      <c r="AB60" s="2">
        <v>4</v>
      </c>
      <c r="AC60" s="2">
        <v>4</v>
      </c>
      <c r="AD60" s="2">
        <v>4</v>
      </c>
      <c r="AE60" s="2" t="s">
        <v>135</v>
      </c>
      <c r="AF60" s="3"/>
    </row>
    <row r="61" spans="1:32" x14ac:dyDescent="0.35">
      <c r="A61" s="2" t="s">
        <v>33</v>
      </c>
      <c r="B61" s="2" t="s">
        <v>20</v>
      </c>
      <c r="C61" s="2">
        <v>3</v>
      </c>
      <c r="D61" s="2">
        <v>3</v>
      </c>
      <c r="E61" s="2">
        <v>1</v>
      </c>
      <c r="F61" s="2">
        <v>2</v>
      </c>
      <c r="G61" s="2">
        <v>4</v>
      </c>
      <c r="H61" s="2">
        <v>5</v>
      </c>
      <c r="I61" s="2">
        <v>0</v>
      </c>
      <c r="J61" s="2"/>
      <c r="K61" s="2">
        <v>2</v>
      </c>
      <c r="L61" s="2">
        <v>3</v>
      </c>
      <c r="M61" s="2">
        <v>1</v>
      </c>
      <c r="N61" s="2"/>
      <c r="O61" s="2">
        <v>3</v>
      </c>
      <c r="P61" s="2">
        <v>2</v>
      </c>
      <c r="Q61" s="2">
        <v>3</v>
      </c>
      <c r="R61" s="2">
        <v>5</v>
      </c>
      <c r="S61" s="2">
        <v>4</v>
      </c>
      <c r="T61" s="2">
        <v>2</v>
      </c>
      <c r="U61" s="2">
        <v>4</v>
      </c>
      <c r="V61" s="2">
        <v>1</v>
      </c>
      <c r="W61" s="2"/>
      <c r="X61" s="2">
        <v>5</v>
      </c>
      <c r="Y61" s="2">
        <v>4</v>
      </c>
      <c r="Z61" s="2">
        <v>3</v>
      </c>
      <c r="AA61" s="2">
        <v>5</v>
      </c>
      <c r="AB61" s="2">
        <v>5</v>
      </c>
      <c r="AC61" s="2">
        <v>5</v>
      </c>
      <c r="AD61" s="2">
        <v>5</v>
      </c>
      <c r="AE61" s="2"/>
      <c r="AF61" s="3"/>
    </row>
    <row r="62" spans="1:32" x14ac:dyDescent="0.35">
      <c r="A62" s="2" t="s">
        <v>29</v>
      </c>
      <c r="B62" s="2" t="s">
        <v>20</v>
      </c>
      <c r="C62" s="2">
        <v>3</v>
      </c>
      <c r="D62" s="2">
        <v>1</v>
      </c>
      <c r="E62" s="2">
        <v>0</v>
      </c>
      <c r="F62" s="2">
        <v>0</v>
      </c>
      <c r="G62" s="2">
        <v>0</v>
      </c>
      <c r="H62" s="2">
        <v>0</v>
      </c>
      <c r="I62" s="2">
        <v>2</v>
      </c>
      <c r="J62" s="2" t="s">
        <v>147</v>
      </c>
      <c r="K62" s="2">
        <v>1</v>
      </c>
      <c r="L62" s="2">
        <v>1</v>
      </c>
      <c r="M62" s="2">
        <v>3</v>
      </c>
      <c r="N62" s="2"/>
      <c r="O62" s="2">
        <v>1</v>
      </c>
      <c r="P62" s="2">
        <v>4</v>
      </c>
      <c r="Q62" s="2">
        <v>1</v>
      </c>
      <c r="R62" s="2">
        <v>1</v>
      </c>
      <c r="S62" s="2">
        <v>1</v>
      </c>
      <c r="T62" s="2">
        <v>1</v>
      </c>
      <c r="U62" s="2">
        <v>1</v>
      </c>
      <c r="V62" s="2">
        <v>1</v>
      </c>
      <c r="W62" s="2"/>
      <c r="X62" s="2">
        <v>1</v>
      </c>
      <c r="Y62" s="2">
        <v>3</v>
      </c>
      <c r="Z62" s="2">
        <v>0</v>
      </c>
      <c r="AA62" s="2">
        <v>2</v>
      </c>
      <c r="AB62" s="2">
        <v>3</v>
      </c>
      <c r="AC62" s="2">
        <v>2</v>
      </c>
      <c r="AD62" s="2">
        <v>3</v>
      </c>
      <c r="AE62" s="2"/>
      <c r="AF62" s="3"/>
    </row>
    <row r="63" spans="1:32" x14ac:dyDescent="0.35">
      <c r="A63" s="5" t="s">
        <v>74</v>
      </c>
      <c r="B63" s="5" t="s">
        <v>20</v>
      </c>
      <c r="C63" s="5">
        <v>3</v>
      </c>
      <c r="D63" s="5">
        <v>1</v>
      </c>
      <c r="E63" s="5">
        <v>1</v>
      </c>
      <c r="F63" s="5">
        <v>0</v>
      </c>
      <c r="G63" s="5">
        <v>0</v>
      </c>
      <c r="H63" s="5">
        <v>0</v>
      </c>
      <c r="I63" s="5">
        <v>0</v>
      </c>
      <c r="J63" s="5"/>
      <c r="K63" s="5">
        <v>2</v>
      </c>
      <c r="L63" s="5">
        <v>1</v>
      </c>
      <c r="M63" s="5">
        <v>2</v>
      </c>
      <c r="N63" s="5"/>
      <c r="O63" s="5">
        <v>1</v>
      </c>
      <c r="P63" s="5">
        <v>2</v>
      </c>
      <c r="Q63" s="5">
        <v>1</v>
      </c>
      <c r="R63" s="5">
        <v>2</v>
      </c>
      <c r="S63" s="5">
        <v>1</v>
      </c>
      <c r="T63" s="5">
        <v>2</v>
      </c>
      <c r="U63" s="5">
        <v>1</v>
      </c>
      <c r="V63" s="5">
        <v>3</v>
      </c>
      <c r="W63" s="5"/>
      <c r="X63" s="5">
        <v>4</v>
      </c>
      <c r="Y63" s="5">
        <v>2</v>
      </c>
      <c r="Z63" s="5">
        <v>1</v>
      </c>
      <c r="AA63" s="5">
        <v>2</v>
      </c>
      <c r="AB63" s="5">
        <v>4</v>
      </c>
      <c r="AC63" s="5">
        <v>4</v>
      </c>
      <c r="AD63" s="5">
        <v>4</v>
      </c>
      <c r="AE63" s="5"/>
      <c r="AF63" s="6"/>
    </row>
    <row r="64" spans="1:32" x14ac:dyDescent="0.35">
      <c r="A64" s="2" t="s">
        <v>28</v>
      </c>
      <c r="B64" s="2" t="s">
        <v>20</v>
      </c>
      <c r="C64" s="2">
        <v>3</v>
      </c>
      <c r="D64" s="2">
        <v>1.5</v>
      </c>
      <c r="E64" s="2">
        <v>2</v>
      </c>
      <c r="F64" s="2">
        <v>2</v>
      </c>
      <c r="G64" s="2">
        <v>2</v>
      </c>
      <c r="H64" s="2">
        <v>2</v>
      </c>
      <c r="I64" s="2">
        <v>0</v>
      </c>
      <c r="J64" s="2"/>
      <c r="K64" s="2">
        <v>3</v>
      </c>
      <c r="L64" s="2">
        <v>3</v>
      </c>
      <c r="M64" s="2">
        <v>1</v>
      </c>
      <c r="N64" s="2"/>
      <c r="O64" s="2">
        <v>3</v>
      </c>
      <c r="P64" s="2">
        <v>1</v>
      </c>
      <c r="Q64" s="2">
        <v>3</v>
      </c>
      <c r="R64" s="2">
        <v>3</v>
      </c>
      <c r="S64" s="2">
        <v>3</v>
      </c>
      <c r="T64" s="2">
        <v>3</v>
      </c>
      <c r="U64" s="2">
        <v>3</v>
      </c>
      <c r="V64" s="2">
        <v>1</v>
      </c>
      <c r="W64" s="2"/>
      <c r="X64" s="2">
        <v>5</v>
      </c>
      <c r="Y64" s="2">
        <v>5</v>
      </c>
      <c r="Z64" s="2">
        <v>3</v>
      </c>
      <c r="AA64" s="2">
        <v>5</v>
      </c>
      <c r="AB64" s="2">
        <v>5</v>
      </c>
      <c r="AC64" s="2">
        <v>5</v>
      </c>
      <c r="AD64" s="2">
        <v>5</v>
      </c>
      <c r="AE64" s="2" t="s">
        <v>148</v>
      </c>
      <c r="AF64" s="3"/>
    </row>
    <row r="65" spans="1:32" x14ac:dyDescent="0.35">
      <c r="A65" s="5" t="s">
        <v>107</v>
      </c>
      <c r="B65" s="5" t="s">
        <v>20</v>
      </c>
      <c r="C65" s="5">
        <v>3</v>
      </c>
      <c r="D65" s="5">
        <v>3</v>
      </c>
      <c r="E65" s="5">
        <v>2</v>
      </c>
      <c r="F65" s="5">
        <v>3</v>
      </c>
      <c r="G65" s="5">
        <v>4</v>
      </c>
      <c r="H65" s="5">
        <v>2</v>
      </c>
      <c r="I65" s="5">
        <v>2</v>
      </c>
      <c r="J65" s="5" t="s">
        <v>151</v>
      </c>
      <c r="K65" s="5">
        <v>1</v>
      </c>
      <c r="L65" s="5">
        <v>2</v>
      </c>
      <c r="M65" s="5">
        <v>3</v>
      </c>
      <c r="N65" s="5"/>
      <c r="O65" s="5">
        <v>3</v>
      </c>
      <c r="P65" s="5">
        <v>2</v>
      </c>
      <c r="Q65" s="5">
        <v>3</v>
      </c>
      <c r="R65" s="5">
        <v>3</v>
      </c>
      <c r="S65" s="5">
        <v>1</v>
      </c>
      <c r="T65" s="5">
        <v>1</v>
      </c>
      <c r="U65" s="5">
        <v>2</v>
      </c>
      <c r="V65" s="5">
        <v>3</v>
      </c>
      <c r="W65" s="5" t="s">
        <v>152</v>
      </c>
      <c r="X65" s="5">
        <v>4</v>
      </c>
      <c r="Y65" s="5">
        <v>2</v>
      </c>
      <c r="Z65" s="5">
        <v>3</v>
      </c>
      <c r="AA65" s="5">
        <v>3</v>
      </c>
      <c r="AB65" s="5">
        <v>4</v>
      </c>
      <c r="AC65" s="5">
        <v>4</v>
      </c>
      <c r="AD65" s="5">
        <v>4</v>
      </c>
      <c r="AE65" s="5" t="s">
        <v>153</v>
      </c>
      <c r="AF65" s="6"/>
    </row>
    <row r="66" spans="1:32" x14ac:dyDescent="0.35">
      <c r="A66" s="5" t="s">
        <v>39</v>
      </c>
      <c r="B66" s="5" t="s">
        <v>20</v>
      </c>
      <c r="C66" s="5">
        <v>3</v>
      </c>
      <c r="D66" s="5">
        <v>3</v>
      </c>
      <c r="E66" s="5">
        <v>2</v>
      </c>
      <c r="F66" s="5">
        <v>3</v>
      </c>
      <c r="G66" s="5">
        <v>3</v>
      </c>
      <c r="H66" s="5">
        <v>1</v>
      </c>
      <c r="I66" s="5">
        <v>0</v>
      </c>
      <c r="J66" s="5" t="s">
        <v>112</v>
      </c>
      <c r="K66" s="5">
        <v>2</v>
      </c>
      <c r="L66" s="5">
        <v>3</v>
      </c>
      <c r="M66" s="5">
        <v>3</v>
      </c>
      <c r="N66" s="5"/>
      <c r="O66" s="5">
        <v>2</v>
      </c>
      <c r="P66" s="5">
        <v>2</v>
      </c>
      <c r="Q66" s="5">
        <v>2</v>
      </c>
      <c r="R66" s="5">
        <v>2</v>
      </c>
      <c r="S66" s="5">
        <v>1</v>
      </c>
      <c r="T66" s="5">
        <v>2</v>
      </c>
      <c r="U66" s="5">
        <v>2</v>
      </c>
      <c r="V66" s="5">
        <v>2</v>
      </c>
      <c r="W66" s="5"/>
      <c r="X66" s="5">
        <v>3</v>
      </c>
      <c r="Y66" s="5">
        <v>1</v>
      </c>
      <c r="Z66" s="5">
        <v>1</v>
      </c>
      <c r="AA66" s="5">
        <v>1</v>
      </c>
      <c r="AB66" s="5">
        <v>2</v>
      </c>
      <c r="AC66" s="5">
        <v>2</v>
      </c>
      <c r="AD66" s="5">
        <v>3</v>
      </c>
      <c r="AE66" s="5"/>
      <c r="AF66" s="6"/>
    </row>
    <row r="67" spans="1:32" x14ac:dyDescent="0.35">
      <c r="A67" s="2" t="s">
        <v>42</v>
      </c>
      <c r="B67" s="2" t="s">
        <v>20</v>
      </c>
      <c r="C67" s="2">
        <v>3</v>
      </c>
      <c r="D67" s="2">
        <v>3</v>
      </c>
      <c r="E67" s="2">
        <v>1</v>
      </c>
      <c r="F67" s="2">
        <v>4</v>
      </c>
      <c r="G67" s="2">
        <v>3</v>
      </c>
      <c r="H67" s="2">
        <v>1</v>
      </c>
      <c r="I67" s="2">
        <v>0</v>
      </c>
      <c r="J67" s="2"/>
      <c r="K67" s="2">
        <v>3</v>
      </c>
      <c r="L67" s="2">
        <v>2</v>
      </c>
      <c r="M67" s="2">
        <v>2</v>
      </c>
      <c r="N67" s="2" t="s">
        <v>155</v>
      </c>
      <c r="O67" s="2">
        <v>3</v>
      </c>
      <c r="P67" s="2">
        <v>2</v>
      </c>
      <c r="Q67" s="2">
        <v>3</v>
      </c>
      <c r="R67" s="2">
        <v>3</v>
      </c>
      <c r="S67" s="2">
        <v>2</v>
      </c>
      <c r="T67" s="2">
        <v>2</v>
      </c>
      <c r="U67" s="2">
        <v>3</v>
      </c>
      <c r="V67" s="2">
        <v>2</v>
      </c>
      <c r="W67" s="2"/>
      <c r="X67" s="2">
        <v>4</v>
      </c>
      <c r="Y67" s="2">
        <v>2</v>
      </c>
      <c r="Z67" s="2">
        <v>2</v>
      </c>
      <c r="AA67" s="2">
        <v>4</v>
      </c>
      <c r="AB67" s="2">
        <v>4</v>
      </c>
      <c r="AC67" s="2">
        <v>4</v>
      </c>
      <c r="AD67" s="2">
        <v>3</v>
      </c>
      <c r="AE67" s="2"/>
      <c r="AF67" s="3"/>
    </row>
    <row r="68" spans="1:32" x14ac:dyDescent="0.35">
      <c r="A68" s="5" t="s">
        <v>81</v>
      </c>
      <c r="B68" s="5" t="s">
        <v>20</v>
      </c>
      <c r="C68" s="5">
        <v>3</v>
      </c>
      <c r="D68" s="5">
        <v>2</v>
      </c>
      <c r="E68" s="5">
        <v>2</v>
      </c>
      <c r="F68" s="5">
        <v>0</v>
      </c>
      <c r="G68" s="5">
        <v>0</v>
      </c>
      <c r="H68" s="5">
        <v>0</v>
      </c>
      <c r="I68" s="5">
        <v>0</v>
      </c>
      <c r="J68" s="5"/>
      <c r="K68" s="5">
        <v>1</v>
      </c>
      <c r="L68" s="5">
        <v>2</v>
      </c>
      <c r="M68" s="5">
        <v>1</v>
      </c>
      <c r="N68" s="5"/>
      <c r="O68" s="5">
        <v>4</v>
      </c>
      <c r="P68" s="5">
        <v>4</v>
      </c>
      <c r="Q68" s="5">
        <v>1</v>
      </c>
      <c r="R68" s="5">
        <v>1</v>
      </c>
      <c r="S68" s="5">
        <v>2</v>
      </c>
      <c r="T68" s="5">
        <v>1</v>
      </c>
      <c r="U68" s="5">
        <v>3</v>
      </c>
      <c r="V68" s="5">
        <v>1</v>
      </c>
      <c r="W68" s="5"/>
      <c r="X68" s="5">
        <v>2</v>
      </c>
      <c r="Y68" s="5">
        <v>3</v>
      </c>
      <c r="Z68" s="5">
        <v>0</v>
      </c>
      <c r="AA68" s="5">
        <v>1</v>
      </c>
      <c r="AB68" s="5">
        <v>3</v>
      </c>
      <c r="AC68" s="5">
        <v>3</v>
      </c>
      <c r="AD68" s="5">
        <v>2</v>
      </c>
      <c r="AE68" s="5"/>
      <c r="AF68" s="6"/>
    </row>
    <row r="69" spans="1:32" x14ac:dyDescent="0.35">
      <c r="A69" s="2" t="s">
        <v>63</v>
      </c>
      <c r="B69" s="2" t="s">
        <v>20</v>
      </c>
      <c r="C69" s="2">
        <v>3</v>
      </c>
      <c r="D69" s="2">
        <v>3</v>
      </c>
      <c r="E69" s="2">
        <v>2</v>
      </c>
      <c r="F69" s="2">
        <v>4</v>
      </c>
      <c r="G69" s="2">
        <v>2</v>
      </c>
      <c r="H69" s="2">
        <v>1</v>
      </c>
      <c r="I69" s="2">
        <v>0</v>
      </c>
      <c r="J69" s="2"/>
      <c r="K69" s="2">
        <v>1</v>
      </c>
      <c r="L69" s="2">
        <v>2</v>
      </c>
      <c r="M69" s="2">
        <v>4</v>
      </c>
      <c r="N69" s="2"/>
      <c r="O69" s="2">
        <v>2</v>
      </c>
      <c r="P69" s="2">
        <v>2</v>
      </c>
      <c r="Q69" s="2">
        <v>2</v>
      </c>
      <c r="R69" s="2">
        <v>1</v>
      </c>
      <c r="S69" s="2">
        <v>1</v>
      </c>
      <c r="T69" s="2">
        <v>1</v>
      </c>
      <c r="U69" s="2">
        <v>1</v>
      </c>
      <c r="V69" s="2">
        <v>4</v>
      </c>
      <c r="W69" s="2"/>
      <c r="X69" s="2">
        <v>2</v>
      </c>
      <c r="Y69" s="2">
        <v>1</v>
      </c>
      <c r="Z69" s="2">
        <v>0</v>
      </c>
      <c r="AA69" s="2">
        <v>1</v>
      </c>
      <c r="AB69" s="2">
        <v>3</v>
      </c>
      <c r="AC69" s="2">
        <v>2</v>
      </c>
      <c r="AD69" s="2">
        <v>2</v>
      </c>
      <c r="AE69" s="2" t="s">
        <v>183</v>
      </c>
      <c r="AF69" s="3"/>
    </row>
    <row r="70" spans="1:32" x14ac:dyDescent="0.35">
      <c r="A70" s="5" t="s">
        <v>201</v>
      </c>
      <c r="B70" s="5" t="s">
        <v>20</v>
      </c>
      <c r="C70" s="5">
        <v>3</v>
      </c>
      <c r="D70" s="5">
        <v>3</v>
      </c>
      <c r="E70" s="5">
        <v>0</v>
      </c>
      <c r="F70" s="5">
        <v>1</v>
      </c>
      <c r="G70" s="5">
        <v>2</v>
      </c>
      <c r="H70" s="5">
        <v>0</v>
      </c>
      <c r="I70" s="5">
        <v>0</v>
      </c>
      <c r="J70" s="5"/>
      <c r="K70" s="5">
        <v>2</v>
      </c>
      <c r="L70" s="5">
        <v>1</v>
      </c>
      <c r="M70" s="5">
        <v>1</v>
      </c>
      <c r="N70" s="5"/>
      <c r="O70" s="5">
        <v>4</v>
      </c>
      <c r="P70" s="5">
        <v>1</v>
      </c>
      <c r="Q70" s="5">
        <v>3</v>
      </c>
      <c r="R70" s="5">
        <v>4</v>
      </c>
      <c r="S70" s="5">
        <v>1</v>
      </c>
      <c r="T70" s="5">
        <v>3</v>
      </c>
      <c r="U70" s="5">
        <v>2</v>
      </c>
      <c r="V70" s="5">
        <v>1</v>
      </c>
      <c r="W70" s="5"/>
      <c r="X70" s="5">
        <v>3</v>
      </c>
      <c r="Y70" s="5">
        <v>3</v>
      </c>
      <c r="Z70" s="5">
        <v>3</v>
      </c>
      <c r="AA70" s="5">
        <v>2</v>
      </c>
      <c r="AB70" s="5">
        <v>4</v>
      </c>
      <c r="AC70" s="5">
        <v>4</v>
      </c>
      <c r="AD70" s="5">
        <v>4</v>
      </c>
      <c r="AE70" s="5"/>
      <c r="AF70" s="6"/>
    </row>
    <row r="71" spans="1:32" x14ac:dyDescent="0.35">
      <c r="A71" s="2" t="s">
        <v>161</v>
      </c>
      <c r="B71" s="2" t="s">
        <v>20</v>
      </c>
      <c r="C71" s="2">
        <v>3</v>
      </c>
      <c r="D71" s="2">
        <v>5</v>
      </c>
      <c r="E71" s="2">
        <v>1</v>
      </c>
      <c r="F71" s="2">
        <v>2</v>
      </c>
      <c r="G71" s="2">
        <v>4</v>
      </c>
      <c r="H71" s="2">
        <v>2</v>
      </c>
      <c r="I71" s="2">
        <v>0</v>
      </c>
      <c r="J71" s="2"/>
      <c r="K71" s="2">
        <v>3</v>
      </c>
      <c r="L71" s="2">
        <v>2</v>
      </c>
      <c r="M71" s="2">
        <v>4</v>
      </c>
      <c r="N71" s="2" t="s">
        <v>203</v>
      </c>
      <c r="O71" s="2">
        <v>5</v>
      </c>
      <c r="P71" s="2">
        <v>1</v>
      </c>
      <c r="Q71" s="2">
        <v>4</v>
      </c>
      <c r="R71" s="2">
        <v>5</v>
      </c>
      <c r="S71" s="2">
        <v>2</v>
      </c>
      <c r="T71" s="2">
        <v>1</v>
      </c>
      <c r="U71" s="2">
        <v>2</v>
      </c>
      <c r="V71" s="2">
        <v>3</v>
      </c>
      <c r="W71" s="2"/>
      <c r="X71" s="2">
        <v>3</v>
      </c>
      <c r="Y71" s="2">
        <v>2</v>
      </c>
      <c r="Z71" s="2">
        <v>4</v>
      </c>
      <c r="AA71" s="2">
        <v>1</v>
      </c>
      <c r="AB71" s="2">
        <v>2</v>
      </c>
      <c r="AC71" s="2">
        <v>5</v>
      </c>
      <c r="AD71" s="2">
        <v>5</v>
      </c>
      <c r="AE71" s="2"/>
      <c r="AF71" s="3"/>
    </row>
    <row r="72" spans="1:32" x14ac:dyDescent="0.35">
      <c r="A72" s="2" t="s">
        <v>176</v>
      </c>
      <c r="B72" s="2" t="s">
        <v>20</v>
      </c>
      <c r="C72" s="2">
        <v>3</v>
      </c>
      <c r="D72" s="2">
        <v>2</v>
      </c>
      <c r="E72" s="2">
        <v>1</v>
      </c>
      <c r="F72" s="2">
        <v>0</v>
      </c>
      <c r="G72" s="2">
        <v>1</v>
      </c>
      <c r="H72" s="2">
        <v>0</v>
      </c>
      <c r="I72" s="2">
        <v>0</v>
      </c>
      <c r="J72" s="2" t="s">
        <v>213</v>
      </c>
      <c r="K72" s="2">
        <v>1</v>
      </c>
      <c r="L72" s="2">
        <v>1</v>
      </c>
      <c r="M72" s="2">
        <v>2</v>
      </c>
      <c r="N72" s="2" t="s">
        <v>179</v>
      </c>
      <c r="O72" s="2">
        <v>2</v>
      </c>
      <c r="P72" s="2">
        <v>2</v>
      </c>
      <c r="Q72" s="2">
        <v>1</v>
      </c>
      <c r="R72" s="2">
        <v>1</v>
      </c>
      <c r="S72" s="2">
        <v>1</v>
      </c>
      <c r="T72" s="2">
        <v>1</v>
      </c>
      <c r="U72" s="2">
        <v>1</v>
      </c>
      <c r="V72" s="2">
        <v>2</v>
      </c>
      <c r="W72" s="2" t="s">
        <v>179</v>
      </c>
      <c r="X72" s="2">
        <v>3</v>
      </c>
      <c r="Y72" s="2">
        <v>2</v>
      </c>
      <c r="Z72" s="2">
        <v>1</v>
      </c>
      <c r="AA72" s="2">
        <v>1</v>
      </c>
      <c r="AB72" s="2">
        <v>4</v>
      </c>
      <c r="AC72" s="2">
        <v>4</v>
      </c>
      <c r="AD72" s="2">
        <v>4</v>
      </c>
      <c r="AE72" s="2"/>
      <c r="AF72" s="3"/>
    </row>
    <row r="73" spans="1:32" x14ac:dyDescent="0.35">
      <c r="A73" s="5" t="s">
        <v>215</v>
      </c>
      <c r="B73" s="5" t="s">
        <v>20</v>
      </c>
      <c r="C73" s="5">
        <v>3</v>
      </c>
      <c r="D73" s="5">
        <v>4</v>
      </c>
      <c r="E73" s="5">
        <v>3</v>
      </c>
      <c r="F73" s="5">
        <v>4</v>
      </c>
      <c r="G73" s="5">
        <v>4</v>
      </c>
      <c r="H73" s="5">
        <v>3</v>
      </c>
      <c r="I73" s="5">
        <v>0</v>
      </c>
      <c r="J73" s="5"/>
      <c r="K73" s="5">
        <v>2</v>
      </c>
      <c r="L73" s="5">
        <v>3</v>
      </c>
      <c r="M73" s="5">
        <v>3</v>
      </c>
      <c r="N73" s="5" t="s">
        <v>216</v>
      </c>
      <c r="O73" s="5">
        <v>2</v>
      </c>
      <c r="P73" s="5">
        <v>4</v>
      </c>
      <c r="Q73" s="5">
        <v>2</v>
      </c>
      <c r="R73" s="5">
        <v>4</v>
      </c>
      <c r="S73" s="5">
        <v>3</v>
      </c>
      <c r="T73" s="5">
        <v>2</v>
      </c>
      <c r="U73" s="5">
        <v>3</v>
      </c>
      <c r="V73" s="5">
        <v>4</v>
      </c>
      <c r="W73" s="5"/>
      <c r="X73" s="5">
        <v>3</v>
      </c>
      <c r="Y73" s="5">
        <v>3</v>
      </c>
      <c r="Z73" s="5">
        <v>3</v>
      </c>
      <c r="AA73" s="5">
        <v>3</v>
      </c>
      <c r="AB73" s="5">
        <v>4</v>
      </c>
      <c r="AC73" s="5">
        <v>4</v>
      </c>
      <c r="AD73" s="5">
        <v>4</v>
      </c>
      <c r="AE73" s="5"/>
      <c r="AF73" s="6"/>
    </row>
    <row r="74" spans="1:32" x14ac:dyDescent="0.35">
      <c r="A74" s="2" t="s">
        <v>127</v>
      </c>
      <c r="B74" s="2" t="s">
        <v>20</v>
      </c>
      <c r="C74" s="2">
        <v>3</v>
      </c>
      <c r="D74" s="2">
        <v>2</v>
      </c>
      <c r="E74" s="2">
        <v>2</v>
      </c>
      <c r="F74" s="2">
        <v>1</v>
      </c>
      <c r="G74" s="2">
        <v>1</v>
      </c>
      <c r="H74" s="2">
        <v>2</v>
      </c>
      <c r="I74" s="2">
        <v>3</v>
      </c>
      <c r="J74" s="2" t="s">
        <v>229</v>
      </c>
      <c r="K74" s="2">
        <v>3</v>
      </c>
      <c r="L74" s="2">
        <v>2</v>
      </c>
      <c r="M74" s="2">
        <v>1</v>
      </c>
      <c r="N74" s="2" t="s">
        <v>230</v>
      </c>
      <c r="O74" s="2">
        <v>3</v>
      </c>
      <c r="P74" s="2">
        <v>3</v>
      </c>
      <c r="Q74" s="2">
        <v>2</v>
      </c>
      <c r="R74" s="2">
        <v>2</v>
      </c>
      <c r="S74" s="2">
        <v>2</v>
      </c>
      <c r="T74" s="2">
        <v>3</v>
      </c>
      <c r="U74" s="2">
        <v>2</v>
      </c>
      <c r="V74" s="2">
        <v>1</v>
      </c>
      <c r="W74" s="2" t="s">
        <v>231</v>
      </c>
      <c r="X74" s="2">
        <v>3</v>
      </c>
      <c r="Y74" s="2">
        <v>4</v>
      </c>
      <c r="Z74" s="2">
        <v>3</v>
      </c>
      <c r="AA74" s="2">
        <v>3</v>
      </c>
      <c r="AB74" s="2">
        <v>3</v>
      </c>
      <c r="AC74" s="2">
        <v>3</v>
      </c>
      <c r="AD74" s="2">
        <v>3</v>
      </c>
      <c r="AE74" s="2" t="s">
        <v>232</v>
      </c>
      <c r="AF74" s="3"/>
    </row>
    <row r="75" spans="1:32" x14ac:dyDescent="0.3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6"/>
    </row>
    <row r="76" spans="1:32" s="29" customFormat="1" ht="13.15" x14ac:dyDescent="0.4">
      <c r="A76" s="28" t="s">
        <v>295</v>
      </c>
      <c r="D76" s="30">
        <f>AVERAGE(D56:D75)</f>
        <v>2.6052631578947367</v>
      </c>
      <c r="E76" s="30">
        <f t="shared" ref="E76:AC76" si="3">AVERAGE(E56:E75)</f>
        <v>1.3947368421052631</v>
      </c>
      <c r="F76" s="30">
        <f t="shared" si="3"/>
        <v>1.5789473684210527</v>
      </c>
      <c r="G76" s="30">
        <f t="shared" si="3"/>
        <v>2.1578947368421053</v>
      </c>
      <c r="H76" s="30">
        <f t="shared" si="3"/>
        <v>1.1578947368421053</v>
      </c>
      <c r="I76" s="30">
        <f t="shared" si="3"/>
        <v>0.57894736842105265</v>
      </c>
      <c r="J76" s="30"/>
      <c r="K76" s="30">
        <f t="shared" si="3"/>
        <v>2.0526315789473686</v>
      </c>
      <c r="L76" s="30">
        <f t="shared" si="3"/>
        <v>2.0526315789473686</v>
      </c>
      <c r="M76" s="30">
        <f t="shared" si="3"/>
        <v>2.3157894736842106</v>
      </c>
      <c r="N76" s="30"/>
      <c r="O76" s="30">
        <f t="shared" si="3"/>
        <v>2.5789473684210527</v>
      </c>
      <c r="P76" s="30">
        <f t="shared" si="3"/>
        <v>2.3157894736842106</v>
      </c>
      <c r="Q76" s="30">
        <f t="shared" si="3"/>
        <v>2.0526315789473686</v>
      </c>
      <c r="R76" s="30">
        <f t="shared" si="3"/>
        <v>2.5789473684210527</v>
      </c>
      <c r="S76" s="30">
        <f t="shared" si="3"/>
        <v>1.7894736842105263</v>
      </c>
      <c r="T76" s="30">
        <f t="shared" si="3"/>
        <v>1.9473684210526316</v>
      </c>
      <c r="U76" s="30">
        <f t="shared" si="3"/>
        <v>2.1578947368421053</v>
      </c>
      <c r="V76" s="30">
        <f t="shared" si="3"/>
        <v>2.2105263157894739</v>
      </c>
      <c r="W76" s="30"/>
      <c r="X76" s="30">
        <f t="shared" si="3"/>
        <v>3.2105263157894739</v>
      </c>
      <c r="Y76" s="30">
        <f t="shared" si="3"/>
        <v>2.6842105263157894</v>
      </c>
      <c r="Z76" s="30">
        <f t="shared" si="3"/>
        <v>1.8947368421052631</v>
      </c>
      <c r="AA76" s="30">
        <f t="shared" si="3"/>
        <v>2.1578947368421053</v>
      </c>
      <c r="AB76" s="30">
        <f t="shared" si="3"/>
        <v>3.5789473684210527</v>
      </c>
      <c r="AC76" s="30">
        <f t="shared" si="3"/>
        <v>3.5789473684210527</v>
      </c>
      <c r="AD76" s="30">
        <f>AVERAGE(AD56:AD75)</f>
        <v>3.5789473684210527</v>
      </c>
      <c r="AE76" s="30"/>
      <c r="AF76" s="30"/>
    </row>
  </sheetData>
  <autoFilter ref="A1:AF33" xr:uid="{6544942C-7EF9-4B6E-B3A0-B1DD88B844F7}"/>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6856F-A738-426B-95D2-34C5512BE54B}">
  <dimension ref="A1:AF75"/>
  <sheetViews>
    <sheetView zoomScale="80" zoomScaleNormal="80" workbookViewId="0">
      <selection activeCell="J60" sqref="J60"/>
    </sheetView>
  </sheetViews>
  <sheetFormatPr baseColWidth="10" defaultRowHeight="12.75" x14ac:dyDescent="0.35"/>
  <cols>
    <col min="1" max="1" width="19.796875" bestFit="1" customWidth="1"/>
    <col min="2" max="2" width="28.796875" bestFit="1" customWidth="1"/>
    <col min="3" max="3" width="4.6640625" customWidth="1"/>
    <col min="10" max="10" width="31.46484375" customWidth="1"/>
    <col min="11" max="11" width="16" customWidth="1"/>
    <col min="23" max="23" width="58" customWidth="1"/>
    <col min="31" max="31" width="106.46484375" customWidth="1"/>
    <col min="32" max="32" width="116.46484375" bestFit="1" customWidth="1"/>
  </cols>
  <sheetData>
    <row r="1" spans="1:32" ht="51" x14ac:dyDescent="0.35">
      <c r="A1" s="10" t="s">
        <v>1</v>
      </c>
      <c r="B1" s="10" t="s">
        <v>2</v>
      </c>
      <c r="C1" s="10" t="s">
        <v>3</v>
      </c>
      <c r="D1" s="21" t="s">
        <v>296</v>
      </c>
      <c r="E1" s="21" t="s">
        <v>292</v>
      </c>
      <c r="F1" s="21" t="s">
        <v>293</v>
      </c>
      <c r="G1" s="21" t="s">
        <v>47</v>
      </c>
      <c r="H1" s="22" t="s">
        <v>288</v>
      </c>
      <c r="I1" s="22" t="s">
        <v>289</v>
      </c>
      <c r="J1" s="10" t="s">
        <v>4</v>
      </c>
      <c r="K1" s="22" t="s">
        <v>37</v>
      </c>
      <c r="L1" s="22" t="s">
        <v>290</v>
      </c>
      <c r="M1" s="22" t="s">
        <v>291</v>
      </c>
      <c r="N1" s="10" t="s">
        <v>5</v>
      </c>
      <c r="O1" s="21" t="s">
        <v>294</v>
      </c>
      <c r="P1" s="21" t="s">
        <v>292</v>
      </c>
      <c r="Q1" s="21" t="s">
        <v>293</v>
      </c>
      <c r="R1" s="21" t="s">
        <v>47</v>
      </c>
      <c r="S1" s="22" t="s">
        <v>288</v>
      </c>
      <c r="T1" s="22" t="s">
        <v>37</v>
      </c>
      <c r="U1" s="22" t="s">
        <v>290</v>
      </c>
      <c r="V1" s="22" t="s">
        <v>291</v>
      </c>
      <c r="W1" s="10" t="s">
        <v>6</v>
      </c>
      <c r="X1" s="11" t="s">
        <v>299</v>
      </c>
      <c r="Y1" s="22" t="s">
        <v>297</v>
      </c>
      <c r="Z1" s="22" t="s">
        <v>287</v>
      </c>
      <c r="AA1" s="22" t="s">
        <v>298</v>
      </c>
      <c r="AB1" s="32" t="s">
        <v>300</v>
      </c>
      <c r="AC1" s="32" t="s">
        <v>301</v>
      </c>
      <c r="AD1" s="32" t="s">
        <v>302</v>
      </c>
      <c r="AE1" s="11" t="s">
        <v>14</v>
      </c>
      <c r="AF1" s="12" t="s">
        <v>15</v>
      </c>
    </row>
    <row r="2" spans="1:32" x14ac:dyDescent="0.35">
      <c r="A2" s="5" t="s">
        <v>31</v>
      </c>
      <c r="B2" s="5" t="s">
        <v>17</v>
      </c>
      <c r="C2" s="5">
        <v>4</v>
      </c>
      <c r="D2" s="5">
        <v>2</v>
      </c>
      <c r="E2" s="5">
        <v>0</v>
      </c>
      <c r="F2" s="5">
        <v>1</v>
      </c>
      <c r="G2" s="5">
        <v>1</v>
      </c>
      <c r="H2" s="5">
        <v>0</v>
      </c>
      <c r="I2" s="5">
        <v>1</v>
      </c>
      <c r="J2" s="5" t="s">
        <v>32</v>
      </c>
      <c r="K2" s="5">
        <v>3</v>
      </c>
      <c r="L2" s="5">
        <v>3</v>
      </c>
      <c r="M2" s="5">
        <v>1</v>
      </c>
      <c r="N2" s="5"/>
      <c r="O2" s="5">
        <v>4</v>
      </c>
      <c r="P2" s="5">
        <v>1</v>
      </c>
      <c r="Q2" s="5">
        <v>3</v>
      </c>
      <c r="R2" s="5">
        <v>4</v>
      </c>
      <c r="S2" s="5">
        <v>1</v>
      </c>
      <c r="T2" s="5">
        <v>3</v>
      </c>
      <c r="U2" s="5">
        <v>2</v>
      </c>
      <c r="V2" s="5">
        <v>3</v>
      </c>
      <c r="W2" s="5"/>
      <c r="X2" s="5">
        <v>5</v>
      </c>
      <c r="Y2" s="5">
        <v>4</v>
      </c>
      <c r="Z2" s="5">
        <v>3</v>
      </c>
      <c r="AA2" s="5">
        <v>5</v>
      </c>
      <c r="AB2" s="5">
        <v>3</v>
      </c>
      <c r="AC2" s="5">
        <v>2</v>
      </c>
      <c r="AD2" s="5">
        <v>3</v>
      </c>
      <c r="AE2" s="5"/>
      <c r="AF2" s="6"/>
    </row>
    <row r="3" spans="1:32" x14ac:dyDescent="0.35">
      <c r="A3" s="2" t="s">
        <v>45</v>
      </c>
      <c r="B3" s="2" t="s">
        <v>17</v>
      </c>
      <c r="C3" s="2">
        <v>4</v>
      </c>
      <c r="D3" s="2">
        <v>3</v>
      </c>
      <c r="E3" s="2">
        <v>0</v>
      </c>
      <c r="F3" s="2">
        <v>1</v>
      </c>
      <c r="G3" s="2">
        <v>2</v>
      </c>
      <c r="H3" s="2">
        <v>0</v>
      </c>
      <c r="I3" s="2">
        <v>3</v>
      </c>
      <c r="J3" s="2" t="s">
        <v>46</v>
      </c>
      <c r="K3" s="2">
        <v>3</v>
      </c>
      <c r="L3" s="2">
        <v>2</v>
      </c>
      <c r="M3" s="2">
        <v>1</v>
      </c>
      <c r="N3" s="2" t="s">
        <v>47</v>
      </c>
      <c r="O3" s="2">
        <v>2</v>
      </c>
      <c r="P3" s="2">
        <v>1</v>
      </c>
      <c r="Q3" s="2">
        <v>2</v>
      </c>
      <c r="R3" s="2">
        <v>3</v>
      </c>
      <c r="S3" s="2">
        <v>1</v>
      </c>
      <c r="T3" s="2">
        <v>3</v>
      </c>
      <c r="U3" s="2">
        <v>2</v>
      </c>
      <c r="V3" s="2">
        <v>2</v>
      </c>
      <c r="W3" s="2" t="s">
        <v>46</v>
      </c>
      <c r="X3" s="2">
        <v>3</v>
      </c>
      <c r="Y3" s="2">
        <v>3</v>
      </c>
      <c r="Z3" s="2">
        <v>2</v>
      </c>
      <c r="AA3" s="2">
        <v>2</v>
      </c>
      <c r="AB3" s="2">
        <v>3</v>
      </c>
      <c r="AC3" s="2">
        <v>3</v>
      </c>
      <c r="AD3" s="2">
        <v>3</v>
      </c>
      <c r="AE3" s="2" t="s">
        <v>48</v>
      </c>
      <c r="AF3" s="3"/>
    </row>
    <row r="4" spans="1:32" x14ac:dyDescent="0.35">
      <c r="A4" s="2" t="s">
        <v>16</v>
      </c>
      <c r="B4" s="2" t="s">
        <v>17</v>
      </c>
      <c r="C4" s="2">
        <v>4</v>
      </c>
      <c r="D4" s="2">
        <v>1</v>
      </c>
      <c r="E4" s="2">
        <v>0</v>
      </c>
      <c r="F4" s="2">
        <v>0</v>
      </c>
      <c r="G4" s="2">
        <v>0</v>
      </c>
      <c r="H4" s="2">
        <v>0</v>
      </c>
      <c r="I4" s="2">
        <v>0</v>
      </c>
      <c r="J4" s="2"/>
      <c r="K4" s="2">
        <v>1</v>
      </c>
      <c r="L4" s="2">
        <v>1</v>
      </c>
      <c r="M4" s="2">
        <v>1</v>
      </c>
      <c r="N4" s="2"/>
      <c r="O4" s="2">
        <v>2</v>
      </c>
      <c r="P4" s="2">
        <v>2</v>
      </c>
      <c r="Q4" s="2">
        <v>2</v>
      </c>
      <c r="R4" s="2">
        <v>3</v>
      </c>
      <c r="S4" s="2">
        <v>1</v>
      </c>
      <c r="T4" s="2">
        <v>3</v>
      </c>
      <c r="U4" s="2">
        <v>4</v>
      </c>
      <c r="V4" s="2">
        <v>3</v>
      </c>
      <c r="W4" s="2"/>
      <c r="X4" s="2">
        <v>1</v>
      </c>
      <c r="Y4" s="2">
        <v>4</v>
      </c>
      <c r="Z4" s="2">
        <v>3</v>
      </c>
      <c r="AA4" s="2">
        <v>3</v>
      </c>
      <c r="AB4" s="2">
        <v>1</v>
      </c>
      <c r="AC4" s="2">
        <v>1</v>
      </c>
      <c r="AD4" s="2">
        <v>1</v>
      </c>
      <c r="AE4" s="2"/>
      <c r="AF4" s="3"/>
    </row>
    <row r="5" spans="1:32" x14ac:dyDescent="0.35">
      <c r="A5" s="5" t="s">
        <v>23</v>
      </c>
      <c r="B5" s="5" t="s">
        <v>20</v>
      </c>
      <c r="C5" s="5">
        <v>4</v>
      </c>
      <c r="D5" s="5">
        <v>2</v>
      </c>
      <c r="E5" s="5">
        <v>4</v>
      </c>
      <c r="F5" s="5">
        <v>0</v>
      </c>
      <c r="G5" s="5">
        <v>3</v>
      </c>
      <c r="H5" s="5">
        <v>3</v>
      </c>
      <c r="I5" s="5">
        <v>0</v>
      </c>
      <c r="J5" s="5"/>
      <c r="K5" s="5">
        <v>4</v>
      </c>
      <c r="L5" s="5">
        <v>4</v>
      </c>
      <c r="M5" s="5">
        <v>1</v>
      </c>
      <c r="N5" s="5"/>
      <c r="O5" s="5">
        <v>2</v>
      </c>
      <c r="P5" s="5">
        <v>4</v>
      </c>
      <c r="Q5" s="5">
        <v>2</v>
      </c>
      <c r="R5" s="5">
        <v>4</v>
      </c>
      <c r="S5" s="5">
        <v>2</v>
      </c>
      <c r="T5" s="5">
        <v>4</v>
      </c>
      <c r="U5" s="5">
        <v>4</v>
      </c>
      <c r="V5" s="5">
        <v>2</v>
      </c>
      <c r="W5" s="5"/>
      <c r="X5" s="5">
        <v>2</v>
      </c>
      <c r="Y5" s="5">
        <v>4</v>
      </c>
      <c r="Z5" s="5">
        <v>2</v>
      </c>
      <c r="AA5" s="5">
        <v>4</v>
      </c>
      <c r="AB5" s="5">
        <v>3</v>
      </c>
      <c r="AC5" s="5">
        <v>3</v>
      </c>
      <c r="AD5" s="5">
        <v>3</v>
      </c>
      <c r="AE5" s="5">
        <v>6.7</v>
      </c>
      <c r="AF5" s="6"/>
    </row>
    <row r="6" spans="1:32" x14ac:dyDescent="0.35">
      <c r="A6" s="5" t="s">
        <v>30</v>
      </c>
      <c r="B6" s="5" t="s">
        <v>20</v>
      </c>
      <c r="C6" s="5">
        <v>4</v>
      </c>
      <c r="D6" s="5">
        <v>3.5</v>
      </c>
      <c r="E6" s="5">
        <v>5</v>
      </c>
      <c r="F6" s="5">
        <v>3</v>
      </c>
      <c r="G6" s="5">
        <v>2</v>
      </c>
      <c r="H6" s="5">
        <v>2</v>
      </c>
      <c r="I6" s="5">
        <v>2</v>
      </c>
      <c r="J6" s="5"/>
      <c r="K6" s="5">
        <v>4</v>
      </c>
      <c r="L6" s="5">
        <v>3</v>
      </c>
      <c r="M6" s="5">
        <v>1</v>
      </c>
      <c r="N6" s="5" t="s">
        <v>111</v>
      </c>
      <c r="O6" s="5">
        <v>5</v>
      </c>
      <c r="P6" s="5">
        <v>2</v>
      </c>
      <c r="Q6" s="5">
        <v>4</v>
      </c>
      <c r="R6" s="5">
        <v>5</v>
      </c>
      <c r="S6" s="5">
        <v>3</v>
      </c>
      <c r="T6" s="5">
        <v>1</v>
      </c>
      <c r="U6" s="5">
        <v>4</v>
      </c>
      <c r="V6" s="5">
        <v>5</v>
      </c>
      <c r="W6" s="5"/>
      <c r="X6" s="5">
        <v>3</v>
      </c>
      <c r="Y6" s="5">
        <v>4</v>
      </c>
      <c r="Z6" s="5">
        <v>5</v>
      </c>
      <c r="AA6" s="5">
        <v>3</v>
      </c>
      <c r="AB6" s="5">
        <v>2</v>
      </c>
      <c r="AC6" s="5">
        <v>3</v>
      </c>
      <c r="AD6" s="5">
        <v>2</v>
      </c>
      <c r="AE6" s="5"/>
      <c r="AF6" s="6"/>
    </row>
    <row r="7" spans="1:32" x14ac:dyDescent="0.35">
      <c r="A7" s="5" t="s">
        <v>75</v>
      </c>
      <c r="B7" s="5" t="s">
        <v>17</v>
      </c>
      <c r="C7" s="5">
        <v>4</v>
      </c>
      <c r="D7" s="5">
        <v>3</v>
      </c>
      <c r="E7" s="5">
        <v>0</v>
      </c>
      <c r="F7" s="5">
        <v>0</v>
      </c>
      <c r="G7" s="5">
        <v>2</v>
      </c>
      <c r="H7" s="5">
        <v>1</v>
      </c>
      <c r="I7" s="5">
        <v>2</v>
      </c>
      <c r="J7" s="5" t="s">
        <v>37</v>
      </c>
      <c r="K7" s="5">
        <v>4</v>
      </c>
      <c r="L7" s="5">
        <v>2</v>
      </c>
      <c r="M7" s="5">
        <v>4</v>
      </c>
      <c r="N7" s="5"/>
      <c r="O7" s="5">
        <v>4</v>
      </c>
      <c r="P7" s="5">
        <v>2</v>
      </c>
      <c r="Q7" s="5">
        <v>2</v>
      </c>
      <c r="R7" s="5">
        <v>4</v>
      </c>
      <c r="S7" s="5">
        <v>2</v>
      </c>
      <c r="T7" s="5">
        <v>4</v>
      </c>
      <c r="U7" s="5">
        <v>3</v>
      </c>
      <c r="V7" s="5">
        <v>4</v>
      </c>
      <c r="W7" s="5"/>
      <c r="X7" s="5">
        <v>4</v>
      </c>
      <c r="Y7" s="5">
        <v>3</v>
      </c>
      <c r="Z7" s="5">
        <v>3</v>
      </c>
      <c r="AA7" s="5">
        <v>3</v>
      </c>
      <c r="AB7" s="5">
        <v>3</v>
      </c>
      <c r="AC7" s="5">
        <v>4</v>
      </c>
      <c r="AD7" s="5">
        <v>3</v>
      </c>
      <c r="AE7" s="5">
        <v>7</v>
      </c>
      <c r="AF7" s="6" t="s">
        <v>142</v>
      </c>
    </row>
    <row r="8" spans="1:32" x14ac:dyDescent="0.35">
      <c r="A8" s="2" t="s">
        <v>91</v>
      </c>
      <c r="B8" s="2" t="s">
        <v>20</v>
      </c>
      <c r="C8" s="2">
        <v>4</v>
      </c>
      <c r="D8" s="2">
        <v>4</v>
      </c>
      <c r="E8" s="2">
        <v>1</v>
      </c>
      <c r="F8" s="2">
        <v>3</v>
      </c>
      <c r="G8" s="2">
        <v>4</v>
      </c>
      <c r="H8" s="2">
        <v>2</v>
      </c>
      <c r="I8" s="2">
        <v>0</v>
      </c>
      <c r="J8" s="2" t="s">
        <v>149</v>
      </c>
      <c r="K8" s="2">
        <v>1</v>
      </c>
      <c r="L8" s="2">
        <v>3</v>
      </c>
      <c r="M8" s="2">
        <v>3</v>
      </c>
      <c r="N8" s="2"/>
      <c r="O8" s="2">
        <v>4</v>
      </c>
      <c r="P8" s="2">
        <v>2</v>
      </c>
      <c r="Q8" s="2">
        <v>4</v>
      </c>
      <c r="R8" s="2">
        <v>5</v>
      </c>
      <c r="S8" s="2">
        <v>2</v>
      </c>
      <c r="T8" s="2">
        <v>2</v>
      </c>
      <c r="U8" s="2">
        <v>3</v>
      </c>
      <c r="V8" s="2">
        <v>3</v>
      </c>
      <c r="W8" s="2"/>
      <c r="X8" s="2">
        <v>2</v>
      </c>
      <c r="Y8" s="2">
        <v>3</v>
      </c>
      <c r="Z8" s="2">
        <v>4</v>
      </c>
      <c r="AA8" s="2">
        <v>3</v>
      </c>
      <c r="AB8" s="2">
        <v>2</v>
      </c>
      <c r="AC8" s="2">
        <v>2</v>
      </c>
      <c r="AD8" s="2">
        <v>2</v>
      </c>
      <c r="AE8" s="2" t="s">
        <v>150</v>
      </c>
      <c r="AF8" s="3"/>
    </row>
    <row r="9" spans="1:32" x14ac:dyDescent="0.35">
      <c r="A9" s="2" t="s">
        <v>44</v>
      </c>
      <c r="B9" s="2" t="s">
        <v>20</v>
      </c>
      <c r="C9" s="2">
        <v>4</v>
      </c>
      <c r="D9" s="2">
        <v>3</v>
      </c>
      <c r="E9" s="2">
        <v>0</v>
      </c>
      <c r="F9" s="2">
        <v>1</v>
      </c>
      <c r="G9" s="2">
        <v>1</v>
      </c>
      <c r="H9" s="2">
        <v>1</v>
      </c>
      <c r="I9" s="2">
        <v>0</v>
      </c>
      <c r="J9" s="2"/>
      <c r="K9" s="2">
        <v>2</v>
      </c>
      <c r="L9" s="2">
        <v>2</v>
      </c>
      <c r="M9" s="2">
        <v>1</v>
      </c>
      <c r="N9" s="2"/>
      <c r="O9" s="2">
        <v>2</v>
      </c>
      <c r="P9" s="2">
        <v>1</v>
      </c>
      <c r="Q9" s="2">
        <v>2</v>
      </c>
      <c r="R9" s="2">
        <v>2</v>
      </c>
      <c r="S9" s="2">
        <v>2</v>
      </c>
      <c r="T9" s="2">
        <v>2</v>
      </c>
      <c r="U9" s="2">
        <v>3</v>
      </c>
      <c r="V9" s="2">
        <v>1</v>
      </c>
      <c r="W9" s="2" t="s">
        <v>154</v>
      </c>
      <c r="X9" s="2">
        <v>4</v>
      </c>
      <c r="Y9" s="2">
        <v>3</v>
      </c>
      <c r="Z9" s="2">
        <v>1</v>
      </c>
      <c r="AA9" s="2">
        <v>2</v>
      </c>
      <c r="AB9" s="2">
        <v>2</v>
      </c>
      <c r="AC9" s="2">
        <v>2</v>
      </c>
      <c r="AD9" s="2">
        <v>3</v>
      </c>
      <c r="AE9" s="2"/>
      <c r="AF9" s="3"/>
    </row>
    <row r="10" spans="1:32" x14ac:dyDescent="0.35">
      <c r="A10" s="2" t="s">
        <v>24</v>
      </c>
      <c r="B10" s="2" t="s">
        <v>20</v>
      </c>
      <c r="C10" s="2">
        <v>4</v>
      </c>
      <c r="D10" s="2">
        <v>1</v>
      </c>
      <c r="E10" s="2">
        <v>2</v>
      </c>
      <c r="F10" s="2">
        <v>1</v>
      </c>
      <c r="G10" s="2">
        <v>1</v>
      </c>
      <c r="H10" s="2">
        <v>0</v>
      </c>
      <c r="I10" s="2">
        <v>3</v>
      </c>
      <c r="J10" s="2" t="s">
        <v>157</v>
      </c>
      <c r="K10" s="2">
        <v>4</v>
      </c>
      <c r="L10" s="2">
        <v>1</v>
      </c>
      <c r="M10" s="2">
        <v>2</v>
      </c>
      <c r="N10" s="2"/>
      <c r="O10" s="2">
        <v>4</v>
      </c>
      <c r="P10" s="2">
        <v>4</v>
      </c>
      <c r="Q10" s="2">
        <v>2</v>
      </c>
      <c r="R10" s="2">
        <v>2</v>
      </c>
      <c r="S10" s="2">
        <v>1</v>
      </c>
      <c r="T10" s="2">
        <v>2</v>
      </c>
      <c r="U10" s="2">
        <v>2</v>
      </c>
      <c r="V10" s="2">
        <v>3</v>
      </c>
      <c r="W10" s="2"/>
      <c r="X10" s="2">
        <v>3</v>
      </c>
      <c r="Y10" s="2">
        <v>3</v>
      </c>
      <c r="Z10" s="2">
        <v>3</v>
      </c>
      <c r="AA10" s="2">
        <v>2</v>
      </c>
      <c r="AB10" s="2">
        <v>2</v>
      </c>
      <c r="AC10" s="2">
        <v>3</v>
      </c>
      <c r="AD10" s="2">
        <v>3</v>
      </c>
      <c r="AE10" s="2" t="s">
        <v>158</v>
      </c>
      <c r="AF10" s="3"/>
    </row>
    <row r="11" spans="1:32" x14ac:dyDescent="0.35">
      <c r="A11" s="5" t="s">
        <v>33</v>
      </c>
      <c r="B11" s="5" t="s">
        <v>20</v>
      </c>
      <c r="C11" s="5">
        <v>4</v>
      </c>
      <c r="D11" s="5">
        <v>2</v>
      </c>
      <c r="E11" s="5">
        <v>1</v>
      </c>
      <c r="F11" s="5">
        <v>3</v>
      </c>
      <c r="G11" s="5">
        <v>2</v>
      </c>
      <c r="H11" s="5">
        <v>3</v>
      </c>
      <c r="I11" s="5">
        <v>0</v>
      </c>
      <c r="J11" s="5"/>
      <c r="K11" s="5">
        <v>3</v>
      </c>
      <c r="L11" s="5">
        <v>4</v>
      </c>
      <c r="M11" s="5">
        <v>1</v>
      </c>
      <c r="N11" s="5"/>
      <c r="O11" s="5">
        <v>5</v>
      </c>
      <c r="P11" s="5">
        <v>2</v>
      </c>
      <c r="Q11" s="5">
        <v>3</v>
      </c>
      <c r="R11" s="5">
        <v>5</v>
      </c>
      <c r="S11" s="5">
        <v>4</v>
      </c>
      <c r="T11" s="5">
        <v>2</v>
      </c>
      <c r="U11" s="5">
        <v>3</v>
      </c>
      <c r="V11" s="5">
        <v>1</v>
      </c>
      <c r="W11" s="5"/>
      <c r="X11" s="5">
        <v>3</v>
      </c>
      <c r="Y11" s="5">
        <v>4</v>
      </c>
      <c r="Z11" s="5">
        <v>5</v>
      </c>
      <c r="AA11" s="5">
        <v>3</v>
      </c>
      <c r="AB11" s="5">
        <v>1</v>
      </c>
      <c r="AC11" s="5">
        <v>2</v>
      </c>
      <c r="AD11" s="5">
        <v>3</v>
      </c>
      <c r="AE11" s="5"/>
      <c r="AF11" s="6"/>
    </row>
    <row r="12" spans="1:32" x14ac:dyDescent="0.35">
      <c r="A12" s="2" t="s">
        <v>176</v>
      </c>
      <c r="B12" s="2" t="s">
        <v>20</v>
      </c>
      <c r="C12" s="2">
        <v>4</v>
      </c>
      <c r="D12" s="2">
        <v>3</v>
      </c>
      <c r="E12" s="2">
        <v>3</v>
      </c>
      <c r="F12" s="2">
        <v>0</v>
      </c>
      <c r="G12" s="2">
        <v>0</v>
      </c>
      <c r="H12" s="2">
        <v>0</v>
      </c>
      <c r="I12" s="2">
        <v>0</v>
      </c>
      <c r="J12" s="2" t="s">
        <v>177</v>
      </c>
      <c r="K12" s="2">
        <v>1</v>
      </c>
      <c r="L12" s="2">
        <v>1</v>
      </c>
      <c r="M12" s="2">
        <v>2</v>
      </c>
      <c r="N12" s="2" t="s">
        <v>178</v>
      </c>
      <c r="O12" s="2">
        <v>2</v>
      </c>
      <c r="P12" s="2">
        <v>4</v>
      </c>
      <c r="Q12" s="2">
        <v>1</v>
      </c>
      <c r="R12" s="2">
        <v>1</v>
      </c>
      <c r="S12" s="2">
        <v>1</v>
      </c>
      <c r="T12" s="2">
        <v>1</v>
      </c>
      <c r="U12" s="2">
        <v>1</v>
      </c>
      <c r="V12" s="2">
        <v>1</v>
      </c>
      <c r="W12" s="2" t="s">
        <v>179</v>
      </c>
      <c r="X12" s="2">
        <v>1</v>
      </c>
      <c r="Y12" s="2">
        <v>4</v>
      </c>
      <c r="Z12" s="2">
        <v>1</v>
      </c>
      <c r="AA12" s="2">
        <v>1</v>
      </c>
      <c r="AB12" s="2">
        <v>5</v>
      </c>
      <c r="AC12" s="2">
        <v>2</v>
      </c>
      <c r="AD12" s="2">
        <v>2</v>
      </c>
      <c r="AE12" s="2"/>
      <c r="AF12" s="3"/>
    </row>
    <row r="13" spans="1:32" x14ac:dyDescent="0.35">
      <c r="A13" s="2" t="s">
        <v>39</v>
      </c>
      <c r="B13" s="2" t="s">
        <v>20</v>
      </c>
      <c r="C13" s="2">
        <v>4</v>
      </c>
      <c r="D13" s="2">
        <v>3</v>
      </c>
      <c r="E13" s="2">
        <v>1</v>
      </c>
      <c r="F13" s="2">
        <v>2</v>
      </c>
      <c r="G13" s="2">
        <v>2</v>
      </c>
      <c r="H13" s="2">
        <v>0</v>
      </c>
      <c r="I13" s="2">
        <v>0</v>
      </c>
      <c r="J13" s="2" t="s">
        <v>112</v>
      </c>
      <c r="K13" s="2">
        <v>3</v>
      </c>
      <c r="L13" s="2">
        <v>3</v>
      </c>
      <c r="M13" s="2">
        <v>3</v>
      </c>
      <c r="N13" s="2"/>
      <c r="O13" s="2">
        <v>3</v>
      </c>
      <c r="P13" s="2">
        <v>2</v>
      </c>
      <c r="Q13" s="2">
        <v>3</v>
      </c>
      <c r="R13" s="2">
        <v>3</v>
      </c>
      <c r="S13" s="2">
        <v>1</v>
      </c>
      <c r="T13" s="2">
        <v>3</v>
      </c>
      <c r="U13" s="2">
        <v>3</v>
      </c>
      <c r="V13" s="2">
        <v>3</v>
      </c>
      <c r="W13" s="2"/>
      <c r="X13" s="2">
        <v>3</v>
      </c>
      <c r="Y13" s="2">
        <v>2</v>
      </c>
      <c r="Z13" s="2">
        <v>2</v>
      </c>
      <c r="AA13" s="2">
        <v>2</v>
      </c>
      <c r="AB13" s="2">
        <v>3</v>
      </c>
      <c r="AC13" s="2">
        <v>3</v>
      </c>
      <c r="AD13" s="2">
        <v>3</v>
      </c>
      <c r="AE13" s="2"/>
      <c r="AF13" s="3"/>
    </row>
    <row r="14" spans="1:32" x14ac:dyDescent="0.35">
      <c r="A14" s="5" t="s">
        <v>74</v>
      </c>
      <c r="B14" s="5" t="s">
        <v>20</v>
      </c>
      <c r="C14" s="5">
        <v>4</v>
      </c>
      <c r="D14" s="5">
        <v>2</v>
      </c>
      <c r="E14" s="5">
        <v>1</v>
      </c>
      <c r="F14" s="5">
        <v>0</v>
      </c>
      <c r="G14" s="5">
        <v>3</v>
      </c>
      <c r="H14" s="5">
        <v>0</v>
      </c>
      <c r="I14" s="5">
        <v>0</v>
      </c>
      <c r="J14" s="5"/>
      <c r="K14" s="5">
        <v>1</v>
      </c>
      <c r="L14" s="5">
        <v>1</v>
      </c>
      <c r="M14" s="5">
        <v>3</v>
      </c>
      <c r="N14" s="5"/>
      <c r="O14" s="5">
        <v>4</v>
      </c>
      <c r="P14" s="5">
        <v>1</v>
      </c>
      <c r="Q14" s="5">
        <v>3</v>
      </c>
      <c r="R14" s="5">
        <v>4</v>
      </c>
      <c r="S14" s="5">
        <v>1</v>
      </c>
      <c r="T14" s="5">
        <v>1</v>
      </c>
      <c r="U14" s="5">
        <v>1</v>
      </c>
      <c r="V14" s="5">
        <v>3</v>
      </c>
      <c r="W14" s="5"/>
      <c r="X14" s="5">
        <v>3</v>
      </c>
      <c r="Y14" s="5">
        <v>5</v>
      </c>
      <c r="Z14" s="5">
        <v>4</v>
      </c>
      <c r="AA14" s="5">
        <v>4</v>
      </c>
      <c r="AB14" s="5">
        <v>3</v>
      </c>
      <c r="AC14" s="5">
        <v>4</v>
      </c>
      <c r="AD14" s="5">
        <v>3</v>
      </c>
      <c r="AE14" s="5"/>
      <c r="AF14" s="6"/>
    </row>
    <row r="15" spans="1:32" x14ac:dyDescent="0.35">
      <c r="A15" s="5" t="s">
        <v>107</v>
      </c>
      <c r="B15" s="5" t="s">
        <v>20</v>
      </c>
      <c r="C15" s="5">
        <v>4</v>
      </c>
      <c r="D15" s="5">
        <v>2</v>
      </c>
      <c r="E15" s="5">
        <v>4</v>
      </c>
      <c r="F15" s="5">
        <v>3</v>
      </c>
      <c r="G15" s="5">
        <v>2.5</v>
      </c>
      <c r="H15" s="5">
        <v>1</v>
      </c>
      <c r="I15" s="5">
        <v>1</v>
      </c>
      <c r="J15" s="5" t="s">
        <v>185</v>
      </c>
      <c r="K15" s="5">
        <v>2</v>
      </c>
      <c r="L15" s="5">
        <v>3</v>
      </c>
      <c r="M15" s="5">
        <v>3</v>
      </c>
      <c r="N15" s="5"/>
      <c r="O15" s="5">
        <v>4</v>
      </c>
      <c r="P15" s="5">
        <v>4</v>
      </c>
      <c r="Q15" s="5">
        <v>4</v>
      </c>
      <c r="R15" s="5">
        <v>4</v>
      </c>
      <c r="S15" s="5">
        <v>2</v>
      </c>
      <c r="T15" s="5">
        <v>2</v>
      </c>
      <c r="U15" s="5">
        <v>4</v>
      </c>
      <c r="V15" s="5">
        <v>4</v>
      </c>
      <c r="W15" s="5" t="s">
        <v>186</v>
      </c>
      <c r="X15" s="5">
        <v>4</v>
      </c>
      <c r="Y15" s="5">
        <v>4</v>
      </c>
      <c r="Z15" s="5">
        <v>4</v>
      </c>
      <c r="AA15" s="5">
        <v>4</v>
      </c>
      <c r="AB15" s="5">
        <v>4</v>
      </c>
      <c r="AC15" s="5">
        <v>4</v>
      </c>
      <c r="AD15" s="5">
        <v>4</v>
      </c>
      <c r="AE15" s="5"/>
      <c r="AF15" s="6"/>
    </row>
    <row r="16" spans="1:32" x14ac:dyDescent="0.35">
      <c r="A16" s="5" t="s">
        <v>81</v>
      </c>
      <c r="B16" s="5" t="s">
        <v>20</v>
      </c>
      <c r="C16" s="5">
        <v>4</v>
      </c>
      <c r="D16" s="5">
        <v>1</v>
      </c>
      <c r="E16" s="5">
        <v>1</v>
      </c>
      <c r="F16" s="5">
        <v>0</v>
      </c>
      <c r="G16" s="5">
        <v>0</v>
      </c>
      <c r="H16" s="5">
        <v>0</v>
      </c>
      <c r="I16" s="5">
        <v>0</v>
      </c>
      <c r="J16" s="5"/>
      <c r="K16" s="5">
        <v>1</v>
      </c>
      <c r="L16" s="5">
        <v>3</v>
      </c>
      <c r="M16" s="5">
        <v>1</v>
      </c>
      <c r="N16" s="5"/>
      <c r="O16" s="5">
        <v>4</v>
      </c>
      <c r="P16" s="5">
        <v>2</v>
      </c>
      <c r="Q16" s="5">
        <v>1</v>
      </c>
      <c r="R16" s="5">
        <v>3</v>
      </c>
      <c r="S16" s="5">
        <v>1</v>
      </c>
      <c r="T16" s="5">
        <v>1</v>
      </c>
      <c r="U16" s="5">
        <v>3</v>
      </c>
      <c r="V16" s="5">
        <v>1</v>
      </c>
      <c r="W16" s="5"/>
      <c r="X16" s="5">
        <v>1</v>
      </c>
      <c r="Y16" s="5">
        <v>3</v>
      </c>
      <c r="Z16" s="5">
        <v>1</v>
      </c>
      <c r="AA16" s="5">
        <v>2</v>
      </c>
      <c r="AB16" s="5">
        <v>2</v>
      </c>
      <c r="AC16" s="5">
        <v>2</v>
      </c>
      <c r="AD16" s="5">
        <v>2</v>
      </c>
      <c r="AE16" s="5"/>
      <c r="AF16" s="6"/>
    </row>
    <row r="17" spans="1:32" x14ac:dyDescent="0.35">
      <c r="A17" s="2" t="s">
        <v>28</v>
      </c>
      <c r="B17" s="2" t="s">
        <v>20</v>
      </c>
      <c r="C17" s="2">
        <v>4</v>
      </c>
      <c r="D17" s="2">
        <v>4</v>
      </c>
      <c r="E17" s="2">
        <v>2</v>
      </c>
      <c r="F17" s="2">
        <v>2</v>
      </c>
      <c r="G17" s="2">
        <v>4</v>
      </c>
      <c r="H17" s="2">
        <v>4</v>
      </c>
      <c r="I17" s="2">
        <v>1</v>
      </c>
      <c r="J17" s="2"/>
      <c r="K17" s="2">
        <v>2</v>
      </c>
      <c r="L17" s="2">
        <v>3</v>
      </c>
      <c r="M17" s="2">
        <v>1</v>
      </c>
      <c r="N17" s="2"/>
      <c r="O17" s="2">
        <v>5</v>
      </c>
      <c r="P17" s="2">
        <v>5</v>
      </c>
      <c r="Q17" s="2">
        <v>5</v>
      </c>
      <c r="R17" s="2">
        <v>4</v>
      </c>
      <c r="S17" s="2">
        <v>1</v>
      </c>
      <c r="T17" s="2">
        <v>1</v>
      </c>
      <c r="U17" s="2">
        <v>1</v>
      </c>
      <c r="V17" s="2">
        <v>1</v>
      </c>
      <c r="W17" s="2" t="s">
        <v>187</v>
      </c>
      <c r="X17" s="2">
        <v>1</v>
      </c>
      <c r="Y17" s="2">
        <v>5</v>
      </c>
      <c r="Z17" s="2">
        <v>5</v>
      </c>
      <c r="AA17" s="2">
        <v>5</v>
      </c>
      <c r="AB17" s="2">
        <v>1</v>
      </c>
      <c r="AC17" s="2">
        <v>1</v>
      </c>
      <c r="AD17" s="2">
        <v>1</v>
      </c>
      <c r="AE17" s="2"/>
      <c r="AF17" s="3" t="s">
        <v>188</v>
      </c>
    </row>
    <row r="18" spans="1:32" x14ac:dyDescent="0.35">
      <c r="A18" s="5" t="s">
        <v>49</v>
      </c>
      <c r="B18" s="5" t="s">
        <v>17</v>
      </c>
      <c r="C18" s="5">
        <v>4</v>
      </c>
      <c r="D18" s="5">
        <v>2</v>
      </c>
      <c r="E18" s="5">
        <v>0</v>
      </c>
      <c r="F18" s="5">
        <v>0</v>
      </c>
      <c r="G18" s="5">
        <v>1</v>
      </c>
      <c r="H18" s="5">
        <v>1</v>
      </c>
      <c r="I18" s="5">
        <v>0</v>
      </c>
      <c r="J18" s="5" t="s">
        <v>169</v>
      </c>
      <c r="K18" s="5">
        <v>1</v>
      </c>
      <c r="L18" s="5">
        <v>1</v>
      </c>
      <c r="M18" s="5">
        <v>2</v>
      </c>
      <c r="N18" s="5" t="s">
        <v>51</v>
      </c>
      <c r="O18" s="5">
        <v>2</v>
      </c>
      <c r="P18" s="5">
        <v>1</v>
      </c>
      <c r="Q18" s="5">
        <v>1</v>
      </c>
      <c r="R18" s="5">
        <v>2</v>
      </c>
      <c r="S18" s="5">
        <v>2</v>
      </c>
      <c r="T18" s="5">
        <v>1</v>
      </c>
      <c r="U18" s="5">
        <v>1</v>
      </c>
      <c r="V18" s="5">
        <v>2</v>
      </c>
      <c r="W18" s="5" t="s">
        <v>51</v>
      </c>
      <c r="X18" s="5">
        <v>2</v>
      </c>
      <c r="Y18" s="5">
        <v>1</v>
      </c>
      <c r="Z18" s="5">
        <v>1</v>
      </c>
      <c r="AA18" s="5">
        <v>0</v>
      </c>
      <c r="AB18" s="5">
        <v>2</v>
      </c>
      <c r="AC18" s="5">
        <v>2</v>
      </c>
      <c r="AD18" s="5">
        <v>2</v>
      </c>
      <c r="AE18" s="5"/>
      <c r="AF18" s="6"/>
    </row>
    <row r="19" spans="1:32" x14ac:dyDescent="0.35">
      <c r="A19" s="2" t="s">
        <v>196</v>
      </c>
      <c r="B19" s="2" t="s">
        <v>20</v>
      </c>
      <c r="C19" s="2">
        <v>4</v>
      </c>
      <c r="D19" s="2">
        <v>2</v>
      </c>
      <c r="E19" s="2">
        <v>1</v>
      </c>
      <c r="F19" s="2">
        <v>1</v>
      </c>
      <c r="G19" s="2">
        <v>2</v>
      </c>
      <c r="H19" s="2">
        <v>2</v>
      </c>
      <c r="I19" s="2">
        <v>1</v>
      </c>
      <c r="J19" s="2" t="s">
        <v>197</v>
      </c>
      <c r="K19" s="2">
        <v>4</v>
      </c>
      <c r="L19" s="2">
        <v>2</v>
      </c>
      <c r="M19" s="2">
        <v>1</v>
      </c>
      <c r="N19" s="2"/>
      <c r="O19" s="2">
        <v>3</v>
      </c>
      <c r="P19" s="2">
        <v>1</v>
      </c>
      <c r="Q19" s="2">
        <v>2</v>
      </c>
      <c r="R19" s="2">
        <v>2</v>
      </c>
      <c r="S19" s="2">
        <v>1</v>
      </c>
      <c r="T19" s="2">
        <v>4</v>
      </c>
      <c r="U19" s="2">
        <v>2</v>
      </c>
      <c r="V19" s="2">
        <v>1</v>
      </c>
      <c r="W19" s="2"/>
      <c r="X19" s="2">
        <v>4</v>
      </c>
      <c r="Y19" s="2">
        <v>2</v>
      </c>
      <c r="Z19" s="2">
        <v>1</v>
      </c>
      <c r="AA19" s="2">
        <v>3</v>
      </c>
      <c r="AB19" s="2">
        <v>5</v>
      </c>
      <c r="AC19" s="2">
        <v>4</v>
      </c>
      <c r="AD19" s="2">
        <v>5</v>
      </c>
      <c r="AE19" s="2"/>
      <c r="AF19" s="3"/>
    </row>
    <row r="20" spans="1:32" x14ac:dyDescent="0.35">
      <c r="A20" s="5" t="s">
        <v>76</v>
      </c>
      <c r="B20" s="5" t="s">
        <v>77</v>
      </c>
      <c r="C20" s="5">
        <v>4</v>
      </c>
      <c r="D20" s="5">
        <v>3</v>
      </c>
      <c r="E20" s="5">
        <v>2</v>
      </c>
      <c r="F20" s="5">
        <v>1</v>
      </c>
      <c r="G20" s="5">
        <v>1</v>
      </c>
      <c r="H20" s="5">
        <v>0</v>
      </c>
      <c r="I20" s="5">
        <v>0</v>
      </c>
      <c r="J20" s="5"/>
      <c r="K20" s="5">
        <v>1</v>
      </c>
      <c r="L20" s="5">
        <v>1</v>
      </c>
      <c r="M20" s="5">
        <v>2</v>
      </c>
      <c r="N20" s="5"/>
      <c r="O20" s="5">
        <v>3</v>
      </c>
      <c r="P20" s="5">
        <v>2</v>
      </c>
      <c r="Q20" s="5">
        <v>3</v>
      </c>
      <c r="R20" s="5">
        <v>2</v>
      </c>
      <c r="S20" s="5">
        <v>1</v>
      </c>
      <c r="T20" s="5">
        <v>2</v>
      </c>
      <c r="U20" s="5">
        <v>1</v>
      </c>
      <c r="V20" s="5">
        <v>2</v>
      </c>
      <c r="W20" s="5"/>
      <c r="X20" s="5">
        <v>3</v>
      </c>
      <c r="Y20" s="5">
        <v>2</v>
      </c>
      <c r="Z20" s="5">
        <v>1</v>
      </c>
      <c r="AA20" s="5">
        <v>2</v>
      </c>
      <c r="AB20" s="5">
        <v>4</v>
      </c>
      <c r="AC20" s="5">
        <v>3</v>
      </c>
      <c r="AD20" s="5">
        <v>4</v>
      </c>
      <c r="AE20" s="5" t="s">
        <v>198</v>
      </c>
      <c r="AF20" s="6"/>
    </row>
    <row r="21" spans="1:32" x14ac:dyDescent="0.35">
      <c r="A21" s="2" t="s">
        <v>63</v>
      </c>
      <c r="B21" s="2" t="s">
        <v>20</v>
      </c>
      <c r="C21" s="2">
        <v>4</v>
      </c>
      <c r="D21" s="2">
        <v>4</v>
      </c>
      <c r="E21" s="2">
        <v>0</v>
      </c>
      <c r="F21" s="2">
        <v>0</v>
      </c>
      <c r="G21" s="2">
        <v>4</v>
      </c>
      <c r="H21" s="2">
        <v>2</v>
      </c>
      <c r="I21" s="2">
        <v>2</v>
      </c>
      <c r="J21" s="2" t="s">
        <v>37</v>
      </c>
      <c r="K21" s="2">
        <v>4</v>
      </c>
      <c r="L21" s="2">
        <v>2</v>
      </c>
      <c r="M21" s="2">
        <v>1</v>
      </c>
      <c r="N21" s="2"/>
      <c r="O21" s="2">
        <v>5</v>
      </c>
      <c r="P21" s="2">
        <v>1</v>
      </c>
      <c r="Q21" s="2">
        <v>4</v>
      </c>
      <c r="R21" s="2">
        <v>5</v>
      </c>
      <c r="S21" s="2">
        <v>3</v>
      </c>
      <c r="T21" s="2">
        <v>4</v>
      </c>
      <c r="U21" s="2">
        <v>3</v>
      </c>
      <c r="V21" s="2">
        <v>1</v>
      </c>
      <c r="W21" s="2"/>
      <c r="X21" s="2">
        <v>5</v>
      </c>
      <c r="Y21" s="2">
        <v>4</v>
      </c>
      <c r="Z21" s="2">
        <v>3</v>
      </c>
      <c r="AA21" s="2">
        <v>4</v>
      </c>
      <c r="AB21" s="2">
        <v>4</v>
      </c>
      <c r="AC21" s="2">
        <v>4</v>
      </c>
      <c r="AD21" s="2">
        <v>5</v>
      </c>
      <c r="AE21" s="2"/>
      <c r="AF21" s="3"/>
    </row>
    <row r="22" spans="1:32" x14ac:dyDescent="0.35">
      <c r="A22" s="5" t="s">
        <v>173</v>
      </c>
      <c r="B22" s="5" t="s">
        <v>20</v>
      </c>
      <c r="C22" s="5">
        <v>4</v>
      </c>
      <c r="D22" s="5">
        <v>3</v>
      </c>
      <c r="E22" s="5">
        <v>0</v>
      </c>
      <c r="F22" s="5">
        <v>0</v>
      </c>
      <c r="G22" s="5">
        <v>1</v>
      </c>
      <c r="H22" s="5">
        <v>0</v>
      </c>
      <c r="I22" s="5">
        <v>0</v>
      </c>
      <c r="J22" s="5" t="s">
        <v>204</v>
      </c>
      <c r="K22" s="5">
        <v>1</v>
      </c>
      <c r="L22" s="5">
        <v>2</v>
      </c>
      <c r="M22" s="5">
        <v>1</v>
      </c>
      <c r="N22" s="5"/>
      <c r="O22" s="5">
        <v>3</v>
      </c>
      <c r="P22" s="5">
        <v>3</v>
      </c>
      <c r="Q22" s="5">
        <v>1</v>
      </c>
      <c r="R22" s="5">
        <v>2</v>
      </c>
      <c r="S22" s="5">
        <v>1</v>
      </c>
      <c r="T22" s="5">
        <v>2</v>
      </c>
      <c r="U22" s="5">
        <v>2</v>
      </c>
      <c r="V22" s="5">
        <v>1</v>
      </c>
      <c r="W22" s="5" t="s">
        <v>205</v>
      </c>
      <c r="X22" s="5">
        <v>4</v>
      </c>
      <c r="Y22" s="5">
        <v>2</v>
      </c>
      <c r="Z22" s="5">
        <v>3</v>
      </c>
      <c r="AA22" s="5">
        <v>3</v>
      </c>
      <c r="AB22" s="5">
        <v>4</v>
      </c>
      <c r="AC22" s="5">
        <v>4</v>
      </c>
      <c r="AD22" s="5">
        <v>4</v>
      </c>
      <c r="AE22" s="5"/>
      <c r="AF22" s="6"/>
    </row>
    <row r="23" spans="1:32" x14ac:dyDescent="0.35">
      <c r="A23" s="2" t="s">
        <v>161</v>
      </c>
      <c r="B23" s="2" t="s">
        <v>20</v>
      </c>
      <c r="C23" s="2">
        <v>4</v>
      </c>
      <c r="D23" s="2">
        <v>1</v>
      </c>
      <c r="E23" s="2">
        <v>3</v>
      </c>
      <c r="F23" s="2">
        <v>1</v>
      </c>
      <c r="G23" s="2">
        <v>1</v>
      </c>
      <c r="H23" s="2">
        <v>2.5</v>
      </c>
      <c r="I23" s="2">
        <v>0</v>
      </c>
      <c r="J23" s="2"/>
      <c r="K23" s="2">
        <v>2</v>
      </c>
      <c r="L23" s="2">
        <v>1</v>
      </c>
      <c r="M23" s="2">
        <v>2</v>
      </c>
      <c r="N23" s="2"/>
      <c r="O23" s="2">
        <v>1</v>
      </c>
      <c r="P23" s="2">
        <v>1</v>
      </c>
      <c r="Q23" s="2">
        <v>4</v>
      </c>
      <c r="R23" s="2">
        <v>2</v>
      </c>
      <c r="S23" s="2">
        <v>3</v>
      </c>
      <c r="T23" s="2">
        <v>3</v>
      </c>
      <c r="U23" s="2">
        <v>2</v>
      </c>
      <c r="V23" s="2">
        <v>1</v>
      </c>
      <c r="W23" s="2"/>
      <c r="X23" s="2">
        <v>1</v>
      </c>
      <c r="Y23" s="2">
        <v>4</v>
      </c>
      <c r="Z23" s="2">
        <v>2</v>
      </c>
      <c r="AA23" s="2">
        <v>3</v>
      </c>
      <c r="AB23" s="2">
        <v>5</v>
      </c>
      <c r="AC23" s="2">
        <v>3</v>
      </c>
      <c r="AD23" s="2">
        <v>4</v>
      </c>
      <c r="AE23" s="2"/>
      <c r="AF23" s="3"/>
    </row>
    <row r="24" spans="1:32" x14ac:dyDescent="0.35">
      <c r="A24" s="5" t="s">
        <v>180</v>
      </c>
      <c r="B24" s="5" t="s">
        <v>17</v>
      </c>
      <c r="C24" s="5">
        <v>4</v>
      </c>
      <c r="D24" s="5">
        <v>3</v>
      </c>
      <c r="E24" s="5">
        <v>1</v>
      </c>
      <c r="F24" s="5">
        <v>1</v>
      </c>
      <c r="G24" s="5">
        <v>2</v>
      </c>
      <c r="H24" s="5">
        <v>1</v>
      </c>
      <c r="I24" s="5">
        <v>1</v>
      </c>
      <c r="J24" s="5" t="s">
        <v>214</v>
      </c>
      <c r="K24" s="5">
        <v>2</v>
      </c>
      <c r="L24" s="5">
        <v>2</v>
      </c>
      <c r="M24" s="5">
        <v>3</v>
      </c>
      <c r="N24" s="5"/>
      <c r="O24" s="5">
        <v>4</v>
      </c>
      <c r="P24" s="5">
        <v>3</v>
      </c>
      <c r="Q24" s="5">
        <v>3</v>
      </c>
      <c r="R24" s="5">
        <v>3</v>
      </c>
      <c r="S24" s="5">
        <v>2</v>
      </c>
      <c r="T24" s="5">
        <v>2</v>
      </c>
      <c r="U24" s="5">
        <v>2</v>
      </c>
      <c r="V24" s="5">
        <v>2</v>
      </c>
      <c r="W24" s="5"/>
      <c r="X24" s="5">
        <v>3</v>
      </c>
      <c r="Y24" s="5">
        <v>3</v>
      </c>
      <c r="Z24" s="5">
        <v>2</v>
      </c>
      <c r="AA24" s="5">
        <v>2</v>
      </c>
      <c r="AB24" s="5">
        <v>2</v>
      </c>
      <c r="AC24" s="5">
        <v>3</v>
      </c>
      <c r="AD24" s="5">
        <v>3</v>
      </c>
      <c r="AE24" s="5"/>
      <c r="AF24" s="6"/>
    </row>
    <row r="25" spans="1:32" x14ac:dyDescent="0.35">
      <c r="A25" s="2" t="s">
        <v>29</v>
      </c>
      <c r="B25" s="2" t="s">
        <v>20</v>
      </c>
      <c r="C25" s="2">
        <v>4</v>
      </c>
      <c r="D25" s="2">
        <v>4</v>
      </c>
      <c r="E25" s="2">
        <v>1</v>
      </c>
      <c r="F25" s="2">
        <v>3</v>
      </c>
      <c r="G25" s="2">
        <v>3</v>
      </c>
      <c r="H25" s="2">
        <v>0</v>
      </c>
      <c r="I25" s="2">
        <v>2</v>
      </c>
      <c r="J25" s="2" t="s">
        <v>37</v>
      </c>
      <c r="K25" s="2">
        <v>1</v>
      </c>
      <c r="L25" s="2">
        <v>3</v>
      </c>
      <c r="M25" s="2">
        <v>4</v>
      </c>
      <c r="N25" s="2"/>
      <c r="O25" s="2">
        <v>2</v>
      </c>
      <c r="P25" s="2">
        <v>4</v>
      </c>
      <c r="Q25" s="2">
        <v>2</v>
      </c>
      <c r="R25" s="2">
        <v>1</v>
      </c>
      <c r="S25" s="2">
        <v>1</v>
      </c>
      <c r="T25" s="2">
        <v>1</v>
      </c>
      <c r="U25" s="2">
        <v>1</v>
      </c>
      <c r="V25" s="2">
        <v>1</v>
      </c>
      <c r="W25" s="2"/>
      <c r="X25" s="2">
        <v>4</v>
      </c>
      <c r="Y25" s="2">
        <v>3</v>
      </c>
      <c r="Z25" s="2">
        <v>2</v>
      </c>
      <c r="AA25" s="2">
        <v>4</v>
      </c>
      <c r="AB25" s="2">
        <v>4</v>
      </c>
      <c r="AC25" s="2">
        <v>4</v>
      </c>
      <c r="AD25" s="2">
        <v>5</v>
      </c>
      <c r="AE25" s="2" t="s">
        <v>217</v>
      </c>
      <c r="AF25" s="3"/>
    </row>
    <row r="26" spans="1:32" x14ac:dyDescent="0.35">
      <c r="A26" s="2" t="s">
        <v>201</v>
      </c>
      <c r="B26" s="2" t="s">
        <v>20</v>
      </c>
      <c r="C26" s="2">
        <v>4</v>
      </c>
      <c r="D26" s="2">
        <v>2</v>
      </c>
      <c r="E26" s="2">
        <v>0</v>
      </c>
      <c r="F26" s="2">
        <v>1</v>
      </c>
      <c r="G26" s="2">
        <v>2</v>
      </c>
      <c r="H26" s="2">
        <v>0</v>
      </c>
      <c r="I26" s="2">
        <v>0</v>
      </c>
      <c r="J26" s="2"/>
      <c r="K26" s="2">
        <v>2</v>
      </c>
      <c r="L26" s="2">
        <v>1</v>
      </c>
      <c r="M26" s="2">
        <v>2</v>
      </c>
      <c r="N26" s="2"/>
      <c r="O26" s="2">
        <v>4</v>
      </c>
      <c r="P26" s="2">
        <v>1</v>
      </c>
      <c r="Q26" s="2">
        <v>3</v>
      </c>
      <c r="R26" s="2">
        <v>4</v>
      </c>
      <c r="S26" s="2">
        <v>2</v>
      </c>
      <c r="T26" s="2">
        <v>2</v>
      </c>
      <c r="U26" s="2">
        <v>2</v>
      </c>
      <c r="V26" s="2">
        <v>2</v>
      </c>
      <c r="W26" s="2" t="s">
        <v>224</v>
      </c>
      <c r="X26" s="2">
        <v>2</v>
      </c>
      <c r="Y26" s="2">
        <v>4</v>
      </c>
      <c r="Z26" s="2">
        <v>4</v>
      </c>
      <c r="AA26" s="2">
        <v>2</v>
      </c>
      <c r="AB26" s="2">
        <v>3</v>
      </c>
      <c r="AC26" s="2">
        <v>3</v>
      </c>
      <c r="AD26" s="2">
        <v>3</v>
      </c>
      <c r="AE26" s="2"/>
      <c r="AF26" s="3"/>
    </row>
    <row r="27" spans="1:32" x14ac:dyDescent="0.35">
      <c r="A27" s="2" t="s">
        <v>99</v>
      </c>
      <c r="B27" s="2" t="s">
        <v>77</v>
      </c>
      <c r="C27" s="2">
        <v>4</v>
      </c>
      <c r="D27" s="2">
        <v>1</v>
      </c>
      <c r="E27" s="2">
        <v>4</v>
      </c>
      <c r="F27" s="2">
        <v>0</v>
      </c>
      <c r="G27" s="2">
        <v>3</v>
      </c>
      <c r="H27" s="2">
        <v>2</v>
      </c>
      <c r="I27" s="2">
        <v>4</v>
      </c>
      <c r="J27" s="2" t="s">
        <v>239</v>
      </c>
      <c r="K27" s="2">
        <v>4</v>
      </c>
      <c r="L27" s="2">
        <v>1</v>
      </c>
      <c r="M27" s="2">
        <v>1</v>
      </c>
      <c r="N27" s="2" t="s">
        <v>240</v>
      </c>
      <c r="O27" s="2">
        <v>5</v>
      </c>
      <c r="P27" s="2">
        <v>3</v>
      </c>
      <c r="Q27" s="2">
        <v>1</v>
      </c>
      <c r="R27" s="2">
        <v>5</v>
      </c>
      <c r="S27" s="2">
        <v>4</v>
      </c>
      <c r="T27" s="2">
        <v>1</v>
      </c>
      <c r="U27" s="2">
        <v>2</v>
      </c>
      <c r="V27" s="2">
        <v>4</v>
      </c>
      <c r="W27" s="2" t="s">
        <v>64</v>
      </c>
      <c r="X27" s="2">
        <v>3</v>
      </c>
      <c r="Y27" s="2">
        <v>3</v>
      </c>
      <c r="Z27" s="2">
        <v>4</v>
      </c>
      <c r="AA27" s="2">
        <v>3</v>
      </c>
      <c r="AB27" s="2">
        <v>3</v>
      </c>
      <c r="AC27" s="2">
        <v>3</v>
      </c>
      <c r="AD27" s="2">
        <v>3</v>
      </c>
      <c r="AE27" s="2"/>
      <c r="AF27" s="3" t="s">
        <v>241</v>
      </c>
    </row>
    <row r="28" spans="1:32" x14ac:dyDescent="0.35">
      <c r="A28" s="5" t="s">
        <v>159</v>
      </c>
      <c r="B28" s="5" t="s">
        <v>17</v>
      </c>
      <c r="C28" s="5">
        <v>4</v>
      </c>
      <c r="D28" s="5">
        <v>3</v>
      </c>
      <c r="E28" s="5">
        <v>1</v>
      </c>
      <c r="F28" s="5">
        <v>1</v>
      </c>
      <c r="G28" s="5">
        <v>2</v>
      </c>
      <c r="H28" s="5">
        <v>2</v>
      </c>
      <c r="I28" s="5">
        <v>0</v>
      </c>
      <c r="J28" s="5"/>
      <c r="K28" s="5">
        <v>3</v>
      </c>
      <c r="L28" s="5">
        <v>2</v>
      </c>
      <c r="M28" s="5">
        <v>3</v>
      </c>
      <c r="N28" s="5"/>
      <c r="O28" s="5">
        <v>3</v>
      </c>
      <c r="P28" s="5">
        <v>2</v>
      </c>
      <c r="Q28" s="5">
        <v>1</v>
      </c>
      <c r="R28" s="5">
        <v>3</v>
      </c>
      <c r="S28" s="5">
        <v>2</v>
      </c>
      <c r="T28" s="5">
        <v>2</v>
      </c>
      <c r="U28" s="5">
        <v>2</v>
      </c>
      <c r="V28" s="5">
        <v>3</v>
      </c>
      <c r="W28" s="5"/>
      <c r="X28" s="5">
        <v>4</v>
      </c>
      <c r="Y28" s="5">
        <v>2</v>
      </c>
      <c r="Z28" s="5">
        <v>2</v>
      </c>
      <c r="AA28" s="5">
        <v>2</v>
      </c>
      <c r="AB28" s="5">
        <v>5</v>
      </c>
      <c r="AC28" s="5">
        <v>4</v>
      </c>
      <c r="AD28" s="5">
        <v>4</v>
      </c>
      <c r="AE28" s="5"/>
      <c r="AF28" s="6"/>
    </row>
    <row r="29" spans="1:32" x14ac:dyDescent="0.35">
      <c r="A29" s="2" t="s">
        <v>143</v>
      </c>
      <c r="B29" s="2" t="s">
        <v>77</v>
      </c>
      <c r="C29" s="2">
        <v>4</v>
      </c>
      <c r="D29" s="2">
        <v>2.5</v>
      </c>
      <c r="E29" s="2">
        <v>1.5</v>
      </c>
      <c r="F29" s="2">
        <v>0</v>
      </c>
      <c r="G29" s="2">
        <v>4</v>
      </c>
      <c r="H29" s="2">
        <v>0</v>
      </c>
      <c r="I29" s="2">
        <v>1</v>
      </c>
      <c r="J29" s="2" t="s">
        <v>244</v>
      </c>
      <c r="K29" s="2">
        <v>2</v>
      </c>
      <c r="L29" s="2">
        <v>1</v>
      </c>
      <c r="M29" s="2">
        <v>1</v>
      </c>
      <c r="N29" s="2"/>
      <c r="O29" s="2">
        <v>2</v>
      </c>
      <c r="P29" s="2">
        <v>3</v>
      </c>
      <c r="Q29" s="2">
        <v>1</v>
      </c>
      <c r="R29" s="2">
        <v>4</v>
      </c>
      <c r="S29" s="2">
        <v>1</v>
      </c>
      <c r="T29" s="2">
        <v>3</v>
      </c>
      <c r="U29" s="2">
        <v>1</v>
      </c>
      <c r="V29" s="2">
        <v>1</v>
      </c>
      <c r="W29" s="2" t="s">
        <v>245</v>
      </c>
      <c r="X29" s="2">
        <v>3</v>
      </c>
      <c r="Y29" s="2">
        <v>4</v>
      </c>
      <c r="Z29" s="2">
        <v>2</v>
      </c>
      <c r="AA29" s="2">
        <v>1</v>
      </c>
      <c r="AB29" s="2">
        <v>3</v>
      </c>
      <c r="AC29" s="2">
        <v>3</v>
      </c>
      <c r="AD29" s="2">
        <v>3</v>
      </c>
      <c r="AE29" s="2" t="s">
        <v>246</v>
      </c>
      <c r="AF29" s="3"/>
    </row>
    <row r="30" spans="1:32" x14ac:dyDescent="0.35">
      <c r="A30" s="5" t="s">
        <v>82</v>
      </c>
      <c r="B30" s="5" t="s">
        <v>20</v>
      </c>
      <c r="C30" s="5">
        <v>4</v>
      </c>
      <c r="D30" s="5">
        <v>4</v>
      </c>
      <c r="E30" s="5">
        <v>4</v>
      </c>
      <c r="F30" s="5">
        <v>4</v>
      </c>
      <c r="G30" s="5">
        <v>4</v>
      </c>
      <c r="H30" s="5">
        <v>4</v>
      </c>
      <c r="I30" s="5">
        <v>0</v>
      </c>
      <c r="J30" s="5"/>
      <c r="K30" s="5">
        <v>3</v>
      </c>
      <c r="L30" s="5">
        <v>3</v>
      </c>
      <c r="M30" s="5">
        <v>2</v>
      </c>
      <c r="N30" s="5" t="s">
        <v>248</v>
      </c>
      <c r="O30" s="5">
        <v>3</v>
      </c>
      <c r="P30" s="5">
        <v>4</v>
      </c>
      <c r="Q30" s="5">
        <v>3</v>
      </c>
      <c r="R30" s="5">
        <v>4</v>
      </c>
      <c r="S30" s="5">
        <v>3</v>
      </c>
      <c r="T30" s="5">
        <v>3</v>
      </c>
      <c r="U30" s="5">
        <v>2</v>
      </c>
      <c r="V30" s="5">
        <v>2</v>
      </c>
      <c r="W30" s="5" t="s">
        <v>249</v>
      </c>
      <c r="X30" s="5">
        <v>4</v>
      </c>
      <c r="Y30" s="5">
        <v>4</v>
      </c>
      <c r="Z30" s="5">
        <v>3</v>
      </c>
      <c r="AA30" s="5">
        <v>4</v>
      </c>
      <c r="AB30" s="5">
        <v>4</v>
      </c>
      <c r="AC30" s="5">
        <v>4</v>
      </c>
      <c r="AD30" s="5">
        <v>4</v>
      </c>
      <c r="AE30" s="5"/>
      <c r="AF30" s="6"/>
    </row>
    <row r="31" spans="1:32" x14ac:dyDescent="0.35">
      <c r="A31" s="5" t="s">
        <v>258</v>
      </c>
      <c r="B31" s="5" t="s">
        <v>20</v>
      </c>
      <c r="C31" s="5">
        <v>4</v>
      </c>
      <c r="D31" s="5">
        <v>4</v>
      </c>
      <c r="E31" s="5">
        <v>2</v>
      </c>
      <c r="F31" s="5">
        <v>3</v>
      </c>
      <c r="G31" s="5">
        <v>3</v>
      </c>
      <c r="H31" s="5">
        <v>3</v>
      </c>
      <c r="I31" s="5">
        <v>3</v>
      </c>
      <c r="J31" s="5" t="s">
        <v>259</v>
      </c>
      <c r="K31" s="5">
        <v>4</v>
      </c>
      <c r="L31" s="5">
        <v>3</v>
      </c>
      <c r="M31" s="5">
        <v>4</v>
      </c>
      <c r="N31" s="5" t="s">
        <v>260</v>
      </c>
      <c r="O31" s="5">
        <v>4</v>
      </c>
      <c r="P31" s="5">
        <v>3</v>
      </c>
      <c r="Q31" s="5">
        <v>3</v>
      </c>
      <c r="R31" s="5">
        <v>3</v>
      </c>
      <c r="S31" s="5">
        <v>3</v>
      </c>
      <c r="T31" s="5">
        <v>3</v>
      </c>
      <c r="U31" s="5">
        <v>3</v>
      </c>
      <c r="V31" s="5">
        <v>3</v>
      </c>
      <c r="W31" s="5"/>
      <c r="X31" s="5">
        <v>4</v>
      </c>
      <c r="Y31" s="5">
        <v>3</v>
      </c>
      <c r="Z31" s="5">
        <v>3</v>
      </c>
      <c r="AA31" s="5">
        <v>4</v>
      </c>
      <c r="AB31" s="5">
        <v>4</v>
      </c>
      <c r="AC31" s="5">
        <v>4</v>
      </c>
      <c r="AD31" s="5">
        <v>4</v>
      </c>
      <c r="AE31" s="5" t="s">
        <v>261</v>
      </c>
      <c r="AF31" s="6" t="s">
        <v>262</v>
      </c>
    </row>
    <row r="32" spans="1:32" x14ac:dyDescent="0.35">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4"/>
    </row>
    <row r="33" spans="1:32" s="29" customFormat="1" ht="13.15" x14ac:dyDescent="0.4">
      <c r="A33" s="28" t="s">
        <v>295</v>
      </c>
      <c r="D33" s="30">
        <f>AVERAGE(D2:D32)</f>
        <v>2.6</v>
      </c>
      <c r="E33" s="30">
        <f t="shared" ref="E33:AD33" si="0">AVERAGE(E2:E32)</f>
        <v>1.5166666666666666</v>
      </c>
      <c r="F33" s="30">
        <f t="shared" si="0"/>
        <v>1.2</v>
      </c>
      <c r="G33" s="30">
        <f t="shared" si="0"/>
        <v>2.0833333333333335</v>
      </c>
      <c r="H33" s="30">
        <f t="shared" si="0"/>
        <v>1.2166666666666666</v>
      </c>
      <c r="I33" s="30">
        <f t="shared" si="0"/>
        <v>0.9</v>
      </c>
      <c r="J33" s="30"/>
      <c r="K33" s="30">
        <f t="shared" si="0"/>
        <v>2.4333333333333331</v>
      </c>
      <c r="L33" s="30">
        <f t="shared" si="0"/>
        <v>2.1333333333333333</v>
      </c>
      <c r="M33" s="30">
        <f t="shared" si="0"/>
        <v>1.9333333333333333</v>
      </c>
      <c r="N33" s="30"/>
      <c r="O33" s="30">
        <f t="shared" si="0"/>
        <v>3.3333333333333335</v>
      </c>
      <c r="P33" s="30">
        <f t="shared" si="0"/>
        <v>2.3666666666666667</v>
      </c>
      <c r="Q33" s="30">
        <f t="shared" si="0"/>
        <v>2.5</v>
      </c>
      <c r="R33" s="30">
        <f t="shared" si="0"/>
        <v>3.2666666666666666</v>
      </c>
      <c r="S33" s="30">
        <f t="shared" si="0"/>
        <v>1.8333333333333333</v>
      </c>
      <c r="T33" s="30">
        <f t="shared" si="0"/>
        <v>2.2666666666666666</v>
      </c>
      <c r="U33" s="30">
        <f t="shared" si="0"/>
        <v>2.2999999999999998</v>
      </c>
      <c r="V33" s="30">
        <f t="shared" si="0"/>
        <v>2.2000000000000002</v>
      </c>
      <c r="W33" s="30"/>
      <c r="X33" s="30">
        <f t="shared" si="0"/>
        <v>2.9666666666666668</v>
      </c>
      <c r="Y33" s="30">
        <f t="shared" si="0"/>
        <v>3.3</v>
      </c>
      <c r="Z33" s="30">
        <f t="shared" si="0"/>
        <v>2.7</v>
      </c>
      <c r="AA33" s="30">
        <f t="shared" si="0"/>
        <v>2.8333333333333335</v>
      </c>
      <c r="AB33" s="30">
        <f t="shared" si="0"/>
        <v>3.0666666666666669</v>
      </c>
      <c r="AC33" s="30">
        <f t="shared" si="0"/>
        <v>2.9666666666666668</v>
      </c>
      <c r="AD33" s="30">
        <f t="shared" si="0"/>
        <v>3.1333333333333333</v>
      </c>
    </row>
    <row r="35" spans="1:32" ht="13.15" x14ac:dyDescent="0.35">
      <c r="A35" s="24" t="s">
        <v>77</v>
      </c>
    </row>
    <row r="36" spans="1:32" ht="51" x14ac:dyDescent="0.35">
      <c r="A36" s="10" t="s">
        <v>1</v>
      </c>
      <c r="B36" s="10" t="s">
        <v>2</v>
      </c>
      <c r="C36" s="10" t="s">
        <v>3</v>
      </c>
      <c r="D36" s="21" t="s">
        <v>287</v>
      </c>
      <c r="E36" s="21" t="s">
        <v>292</v>
      </c>
      <c r="F36" s="21" t="s">
        <v>293</v>
      </c>
      <c r="G36" s="21" t="s">
        <v>47</v>
      </c>
      <c r="H36" s="22" t="s">
        <v>288</v>
      </c>
      <c r="I36" s="22" t="s">
        <v>289</v>
      </c>
      <c r="J36" s="10" t="s">
        <v>4</v>
      </c>
      <c r="K36" s="22" t="s">
        <v>37</v>
      </c>
      <c r="L36" s="22" t="s">
        <v>290</v>
      </c>
      <c r="M36" s="22" t="s">
        <v>291</v>
      </c>
      <c r="N36" s="10" t="s">
        <v>5</v>
      </c>
      <c r="O36" s="21" t="s">
        <v>294</v>
      </c>
      <c r="P36" s="21" t="s">
        <v>292</v>
      </c>
      <c r="Q36" s="21" t="s">
        <v>293</v>
      </c>
      <c r="R36" s="21" t="s">
        <v>47</v>
      </c>
      <c r="S36" s="22" t="s">
        <v>288</v>
      </c>
      <c r="T36" s="22" t="s">
        <v>37</v>
      </c>
      <c r="U36" s="22" t="s">
        <v>290</v>
      </c>
      <c r="V36" s="22" t="s">
        <v>291</v>
      </c>
      <c r="W36" s="10" t="s">
        <v>6</v>
      </c>
      <c r="X36" s="11" t="s">
        <v>7</v>
      </c>
      <c r="Y36" s="10" t="s">
        <v>8</v>
      </c>
      <c r="Z36" s="10" t="s">
        <v>9</v>
      </c>
      <c r="AA36" s="10" t="s">
        <v>10</v>
      </c>
      <c r="AB36" s="10" t="s">
        <v>11</v>
      </c>
      <c r="AC36" s="10" t="s">
        <v>12</v>
      </c>
      <c r="AD36" s="10" t="s">
        <v>13</v>
      </c>
      <c r="AE36" s="11" t="s">
        <v>14</v>
      </c>
      <c r="AF36" s="12" t="s">
        <v>15</v>
      </c>
    </row>
    <row r="37" spans="1:32" x14ac:dyDescent="0.35">
      <c r="A37" s="5" t="s">
        <v>76</v>
      </c>
      <c r="B37" s="5" t="s">
        <v>77</v>
      </c>
      <c r="C37" s="5">
        <v>4</v>
      </c>
      <c r="D37" s="5">
        <v>3</v>
      </c>
      <c r="E37" s="5">
        <v>2</v>
      </c>
      <c r="F37" s="5">
        <v>1</v>
      </c>
      <c r="G37" s="5">
        <v>1</v>
      </c>
      <c r="H37" s="5">
        <v>0</v>
      </c>
      <c r="I37" s="5">
        <v>0</v>
      </c>
      <c r="J37" s="5"/>
      <c r="K37" s="5">
        <v>1</v>
      </c>
      <c r="L37" s="5">
        <v>1</v>
      </c>
      <c r="M37" s="5">
        <v>2</v>
      </c>
      <c r="N37" s="5"/>
      <c r="O37" s="5">
        <v>3</v>
      </c>
      <c r="P37" s="5">
        <v>2</v>
      </c>
      <c r="Q37" s="5">
        <v>3</v>
      </c>
      <c r="R37" s="5">
        <v>2</v>
      </c>
      <c r="S37" s="5">
        <v>1</v>
      </c>
      <c r="T37" s="5">
        <v>2</v>
      </c>
      <c r="U37" s="5">
        <v>1</v>
      </c>
      <c r="V37" s="5">
        <v>2</v>
      </c>
      <c r="W37" s="5"/>
      <c r="X37" s="5">
        <v>3</v>
      </c>
      <c r="Y37" s="5">
        <v>2</v>
      </c>
      <c r="Z37" s="5">
        <v>1</v>
      </c>
      <c r="AA37" s="5">
        <v>2</v>
      </c>
      <c r="AB37" s="5">
        <v>4</v>
      </c>
      <c r="AC37" s="5">
        <v>3</v>
      </c>
      <c r="AD37" s="5">
        <v>4</v>
      </c>
      <c r="AE37" s="5" t="s">
        <v>198</v>
      </c>
      <c r="AF37" s="6"/>
    </row>
    <row r="38" spans="1:32" x14ac:dyDescent="0.35">
      <c r="A38" s="2" t="s">
        <v>99</v>
      </c>
      <c r="B38" s="2" t="s">
        <v>77</v>
      </c>
      <c r="C38" s="2">
        <v>4</v>
      </c>
      <c r="D38" s="2">
        <v>1</v>
      </c>
      <c r="E38" s="2">
        <v>4</v>
      </c>
      <c r="F38" s="2">
        <v>0</v>
      </c>
      <c r="G38" s="2">
        <v>3</v>
      </c>
      <c r="H38" s="2">
        <v>2</v>
      </c>
      <c r="I38" s="2">
        <v>4</v>
      </c>
      <c r="J38" s="2" t="s">
        <v>239</v>
      </c>
      <c r="K38" s="2">
        <v>4</v>
      </c>
      <c r="L38" s="2">
        <v>1</v>
      </c>
      <c r="M38" s="2">
        <v>1</v>
      </c>
      <c r="N38" s="2" t="s">
        <v>240</v>
      </c>
      <c r="O38" s="2">
        <v>5</v>
      </c>
      <c r="P38" s="2">
        <v>3</v>
      </c>
      <c r="Q38" s="2">
        <v>1</v>
      </c>
      <c r="R38" s="2">
        <v>5</v>
      </c>
      <c r="S38" s="2">
        <v>4</v>
      </c>
      <c r="T38" s="2">
        <v>1</v>
      </c>
      <c r="U38" s="2">
        <v>2</v>
      </c>
      <c r="V38" s="2">
        <v>4</v>
      </c>
      <c r="W38" s="2" t="s">
        <v>64</v>
      </c>
      <c r="X38" s="2">
        <v>3</v>
      </c>
      <c r="Y38" s="2">
        <v>3</v>
      </c>
      <c r="Z38" s="2">
        <v>4</v>
      </c>
      <c r="AA38" s="2">
        <v>3</v>
      </c>
      <c r="AB38" s="2">
        <v>3</v>
      </c>
      <c r="AC38" s="2">
        <v>3</v>
      </c>
      <c r="AD38" s="2">
        <v>3</v>
      </c>
      <c r="AE38" s="2"/>
      <c r="AF38" s="3" t="s">
        <v>241</v>
      </c>
    </row>
    <row r="39" spans="1:32" x14ac:dyDescent="0.35">
      <c r="A39" s="2" t="s">
        <v>143</v>
      </c>
      <c r="B39" s="2" t="s">
        <v>77</v>
      </c>
      <c r="C39" s="2">
        <v>4</v>
      </c>
      <c r="D39" s="2">
        <v>2.5</v>
      </c>
      <c r="E39" s="2">
        <v>1.5</v>
      </c>
      <c r="F39" s="2">
        <v>0</v>
      </c>
      <c r="G39" s="2">
        <v>4</v>
      </c>
      <c r="H39" s="2">
        <v>0</v>
      </c>
      <c r="I39" s="2">
        <v>1</v>
      </c>
      <c r="J39" s="2" t="s">
        <v>244</v>
      </c>
      <c r="K39" s="2">
        <v>2</v>
      </c>
      <c r="L39" s="2">
        <v>1</v>
      </c>
      <c r="M39" s="2">
        <v>1</v>
      </c>
      <c r="N39" s="2"/>
      <c r="O39" s="2">
        <v>2</v>
      </c>
      <c r="P39" s="2">
        <v>3</v>
      </c>
      <c r="Q39" s="2">
        <v>1</v>
      </c>
      <c r="R39" s="2">
        <v>4</v>
      </c>
      <c r="S39" s="2">
        <v>1</v>
      </c>
      <c r="T39" s="2">
        <v>3</v>
      </c>
      <c r="U39" s="2">
        <v>1</v>
      </c>
      <c r="V39" s="2">
        <v>1</v>
      </c>
      <c r="W39" s="2" t="s">
        <v>245</v>
      </c>
      <c r="X39" s="2">
        <v>3</v>
      </c>
      <c r="Y39" s="2">
        <v>4</v>
      </c>
      <c r="Z39" s="2">
        <v>2</v>
      </c>
      <c r="AA39" s="2">
        <v>1</v>
      </c>
      <c r="AB39" s="2">
        <v>3</v>
      </c>
      <c r="AC39" s="2">
        <v>3</v>
      </c>
      <c r="AD39" s="2">
        <v>3</v>
      </c>
      <c r="AE39" s="2" t="s">
        <v>246</v>
      </c>
      <c r="AF39" s="3"/>
    </row>
    <row r="40" spans="1:32" x14ac:dyDescent="0.35">
      <c r="A40" s="5" t="s">
        <v>173</v>
      </c>
      <c r="B40" s="5" t="s">
        <v>20</v>
      </c>
      <c r="C40" s="5">
        <v>4</v>
      </c>
      <c r="D40" s="5">
        <v>3</v>
      </c>
      <c r="E40" s="5">
        <v>0</v>
      </c>
      <c r="F40" s="5">
        <v>0</v>
      </c>
      <c r="G40" s="5">
        <v>1</v>
      </c>
      <c r="H40" s="5">
        <v>0</v>
      </c>
      <c r="I40" s="5">
        <v>0</v>
      </c>
      <c r="J40" s="5" t="s">
        <v>204</v>
      </c>
      <c r="K40" s="5">
        <v>1</v>
      </c>
      <c r="L40" s="5">
        <v>2</v>
      </c>
      <c r="M40" s="5">
        <v>1</v>
      </c>
      <c r="N40" s="5"/>
      <c r="O40" s="5">
        <v>3</v>
      </c>
      <c r="P40" s="5">
        <v>3</v>
      </c>
      <c r="Q40" s="5">
        <v>1</v>
      </c>
      <c r="R40" s="5">
        <v>2</v>
      </c>
      <c r="S40" s="5">
        <v>1</v>
      </c>
      <c r="T40" s="5">
        <v>2</v>
      </c>
      <c r="U40" s="5">
        <v>2</v>
      </c>
      <c r="V40" s="5">
        <v>1</v>
      </c>
      <c r="W40" s="5" t="s">
        <v>205</v>
      </c>
      <c r="X40" s="5">
        <v>4</v>
      </c>
      <c r="Y40" s="5">
        <v>2</v>
      </c>
      <c r="Z40" s="5">
        <v>3</v>
      </c>
      <c r="AA40" s="5">
        <v>3</v>
      </c>
      <c r="AB40" s="5">
        <v>4</v>
      </c>
      <c r="AC40" s="5">
        <v>4</v>
      </c>
      <c r="AD40" s="5">
        <v>4</v>
      </c>
      <c r="AE40" s="5"/>
      <c r="AF40" s="6"/>
    </row>
    <row r="41" spans="1:32" s="29" customFormat="1" ht="13.15" x14ac:dyDescent="0.4">
      <c r="A41" s="31" t="s">
        <v>295</v>
      </c>
      <c r="D41" s="30">
        <f t="shared" ref="D41:I41" si="1">AVERAGE(D37:D40)</f>
        <v>2.375</v>
      </c>
      <c r="E41" s="30">
        <f t="shared" si="1"/>
        <v>1.875</v>
      </c>
      <c r="F41" s="30">
        <f t="shared" si="1"/>
        <v>0.25</v>
      </c>
      <c r="G41" s="30">
        <f t="shared" si="1"/>
        <v>2.25</v>
      </c>
      <c r="H41" s="30">
        <f t="shared" si="1"/>
        <v>0.5</v>
      </c>
      <c r="I41" s="30">
        <f t="shared" si="1"/>
        <v>1.25</v>
      </c>
      <c r="J41" s="30"/>
      <c r="K41" s="30">
        <f>AVERAGE(K37:K40)</f>
        <v>2</v>
      </c>
      <c r="L41" s="30">
        <f>AVERAGE(L37:L40)</f>
        <v>1.25</v>
      </c>
      <c r="M41" s="30">
        <f>AVERAGE(M37:M40)</f>
        <v>1.25</v>
      </c>
      <c r="N41" s="30"/>
      <c r="O41" s="30">
        <f t="shared" ref="O41:V41" si="2">AVERAGE(O37:O40)</f>
        <v>3.25</v>
      </c>
      <c r="P41" s="30">
        <f t="shared" si="2"/>
        <v>2.75</v>
      </c>
      <c r="Q41" s="30">
        <f t="shared" si="2"/>
        <v>1.5</v>
      </c>
      <c r="R41" s="30">
        <f t="shared" si="2"/>
        <v>3.25</v>
      </c>
      <c r="S41" s="30">
        <f t="shared" si="2"/>
        <v>1.75</v>
      </c>
      <c r="T41" s="30">
        <f t="shared" si="2"/>
        <v>2</v>
      </c>
      <c r="U41" s="30">
        <f t="shared" si="2"/>
        <v>1.5</v>
      </c>
      <c r="V41" s="30">
        <f t="shared" si="2"/>
        <v>2</v>
      </c>
      <c r="W41" s="30"/>
      <c r="X41" s="30">
        <f t="shared" ref="X41:AD41" si="3">AVERAGE(X37:X40)</f>
        <v>3.25</v>
      </c>
      <c r="Y41" s="30">
        <f t="shared" si="3"/>
        <v>2.75</v>
      </c>
      <c r="Z41" s="30">
        <f t="shared" si="3"/>
        <v>2.5</v>
      </c>
      <c r="AA41" s="30">
        <f t="shared" si="3"/>
        <v>2.25</v>
      </c>
      <c r="AB41" s="30">
        <f t="shared" si="3"/>
        <v>3.5</v>
      </c>
      <c r="AC41" s="30">
        <f t="shared" si="3"/>
        <v>3.25</v>
      </c>
      <c r="AD41" s="30">
        <f t="shared" si="3"/>
        <v>3.5</v>
      </c>
    </row>
    <row r="43" spans="1:32" ht="13.15" x14ac:dyDescent="0.35">
      <c r="A43" s="25" t="s">
        <v>17</v>
      </c>
    </row>
    <row r="44" spans="1:32" ht="51" x14ac:dyDescent="0.35">
      <c r="A44" s="10" t="s">
        <v>1</v>
      </c>
      <c r="B44" s="10" t="s">
        <v>2</v>
      </c>
      <c r="C44" s="10" t="s">
        <v>3</v>
      </c>
      <c r="D44" s="21" t="s">
        <v>287</v>
      </c>
      <c r="E44" s="21" t="s">
        <v>292</v>
      </c>
      <c r="F44" s="21" t="s">
        <v>293</v>
      </c>
      <c r="G44" s="21" t="s">
        <v>47</v>
      </c>
      <c r="H44" s="22" t="s">
        <v>288</v>
      </c>
      <c r="I44" s="22" t="s">
        <v>289</v>
      </c>
      <c r="J44" s="10" t="s">
        <v>4</v>
      </c>
      <c r="K44" s="22" t="s">
        <v>37</v>
      </c>
      <c r="L44" s="22" t="s">
        <v>290</v>
      </c>
      <c r="M44" s="22" t="s">
        <v>291</v>
      </c>
      <c r="N44" s="10" t="s">
        <v>5</v>
      </c>
      <c r="O44" s="21" t="s">
        <v>294</v>
      </c>
      <c r="P44" s="21" t="s">
        <v>292</v>
      </c>
      <c r="Q44" s="21" t="s">
        <v>293</v>
      </c>
      <c r="R44" s="21" t="s">
        <v>47</v>
      </c>
      <c r="S44" s="22" t="s">
        <v>288</v>
      </c>
      <c r="T44" s="22" t="s">
        <v>37</v>
      </c>
      <c r="U44" s="22" t="s">
        <v>290</v>
      </c>
      <c r="V44" s="22" t="s">
        <v>291</v>
      </c>
      <c r="W44" s="10" t="s">
        <v>6</v>
      </c>
      <c r="X44" s="11" t="s">
        <v>7</v>
      </c>
      <c r="Y44" s="10" t="s">
        <v>8</v>
      </c>
      <c r="Z44" s="10" t="s">
        <v>9</v>
      </c>
      <c r="AA44" s="10" t="s">
        <v>10</v>
      </c>
      <c r="AB44" s="10" t="s">
        <v>11</v>
      </c>
      <c r="AC44" s="10" t="s">
        <v>12</v>
      </c>
      <c r="AD44" s="10" t="s">
        <v>13</v>
      </c>
      <c r="AE44" s="11" t="s">
        <v>14</v>
      </c>
      <c r="AF44" s="12" t="s">
        <v>15</v>
      </c>
    </row>
    <row r="45" spans="1:32" x14ac:dyDescent="0.35">
      <c r="A45" s="5" t="s">
        <v>31</v>
      </c>
      <c r="B45" s="5" t="s">
        <v>17</v>
      </c>
      <c r="C45" s="5">
        <v>4</v>
      </c>
      <c r="D45" s="5">
        <v>2</v>
      </c>
      <c r="E45" s="5">
        <v>0</v>
      </c>
      <c r="F45" s="5">
        <v>1</v>
      </c>
      <c r="G45" s="5">
        <v>1</v>
      </c>
      <c r="H45" s="5">
        <v>0</v>
      </c>
      <c r="I45" s="5">
        <v>1</v>
      </c>
      <c r="J45" s="5" t="s">
        <v>32</v>
      </c>
      <c r="K45" s="5">
        <v>3</v>
      </c>
      <c r="L45" s="5">
        <v>3</v>
      </c>
      <c r="M45" s="5">
        <v>1</v>
      </c>
      <c r="N45" s="5"/>
      <c r="O45" s="5">
        <v>4</v>
      </c>
      <c r="P45" s="5">
        <v>1</v>
      </c>
      <c r="Q45" s="5">
        <v>3</v>
      </c>
      <c r="R45" s="5">
        <v>4</v>
      </c>
      <c r="S45" s="5">
        <v>1</v>
      </c>
      <c r="T45" s="5">
        <v>3</v>
      </c>
      <c r="U45" s="5">
        <v>2</v>
      </c>
      <c r="V45" s="5">
        <v>3</v>
      </c>
      <c r="W45" s="5"/>
      <c r="X45" s="5">
        <v>5</v>
      </c>
      <c r="Y45" s="5">
        <v>4</v>
      </c>
      <c r="Z45" s="5">
        <v>3</v>
      </c>
      <c r="AA45" s="5">
        <v>5</v>
      </c>
      <c r="AB45" s="5">
        <v>3</v>
      </c>
      <c r="AC45" s="5">
        <v>2</v>
      </c>
      <c r="AD45" s="5">
        <v>3</v>
      </c>
      <c r="AE45" s="5"/>
      <c r="AF45" s="6"/>
    </row>
    <row r="46" spans="1:32" x14ac:dyDescent="0.35">
      <c r="A46" s="2" t="s">
        <v>45</v>
      </c>
      <c r="B46" s="2" t="s">
        <v>17</v>
      </c>
      <c r="C46" s="2">
        <v>4</v>
      </c>
      <c r="D46" s="2">
        <v>3</v>
      </c>
      <c r="E46" s="2">
        <v>0</v>
      </c>
      <c r="F46" s="2">
        <v>1</v>
      </c>
      <c r="G46" s="2">
        <v>2</v>
      </c>
      <c r="H46" s="2">
        <v>0</v>
      </c>
      <c r="I46" s="2">
        <v>3</v>
      </c>
      <c r="J46" s="2" t="s">
        <v>46</v>
      </c>
      <c r="K46" s="2">
        <v>3</v>
      </c>
      <c r="L46" s="2">
        <v>2</v>
      </c>
      <c r="M46" s="2">
        <v>1</v>
      </c>
      <c r="N46" s="2" t="s">
        <v>47</v>
      </c>
      <c r="O46" s="2">
        <v>2</v>
      </c>
      <c r="P46" s="2">
        <v>1</v>
      </c>
      <c r="Q46" s="2">
        <v>2</v>
      </c>
      <c r="R46" s="2">
        <v>3</v>
      </c>
      <c r="S46" s="2">
        <v>1</v>
      </c>
      <c r="T46" s="2">
        <v>3</v>
      </c>
      <c r="U46" s="2">
        <v>2</v>
      </c>
      <c r="V46" s="2">
        <v>2</v>
      </c>
      <c r="W46" s="2" t="s">
        <v>46</v>
      </c>
      <c r="X46" s="2">
        <v>3</v>
      </c>
      <c r="Y46" s="2">
        <v>3</v>
      </c>
      <c r="Z46" s="2">
        <v>2</v>
      </c>
      <c r="AA46" s="2">
        <v>2</v>
      </c>
      <c r="AB46" s="2">
        <v>3</v>
      </c>
      <c r="AC46" s="2">
        <v>3</v>
      </c>
      <c r="AD46" s="2">
        <v>3</v>
      </c>
      <c r="AE46" s="2" t="s">
        <v>48</v>
      </c>
      <c r="AF46" s="3"/>
    </row>
    <row r="47" spans="1:32" x14ac:dyDescent="0.35">
      <c r="A47" s="2" t="s">
        <v>16</v>
      </c>
      <c r="B47" s="2" t="s">
        <v>17</v>
      </c>
      <c r="C47" s="2">
        <v>4</v>
      </c>
      <c r="D47" s="2">
        <v>1</v>
      </c>
      <c r="E47" s="2">
        <v>0</v>
      </c>
      <c r="F47" s="2">
        <v>0</v>
      </c>
      <c r="G47" s="2">
        <v>0</v>
      </c>
      <c r="H47" s="2">
        <v>0</v>
      </c>
      <c r="I47" s="2">
        <v>0</v>
      </c>
      <c r="J47" s="2"/>
      <c r="K47" s="2">
        <v>1</v>
      </c>
      <c r="L47" s="2">
        <v>1</v>
      </c>
      <c r="M47" s="2">
        <v>1</v>
      </c>
      <c r="N47" s="2"/>
      <c r="O47" s="2">
        <v>2</v>
      </c>
      <c r="P47" s="2">
        <v>2</v>
      </c>
      <c r="Q47" s="2">
        <v>2</v>
      </c>
      <c r="R47" s="2">
        <v>3</v>
      </c>
      <c r="S47" s="2">
        <v>1</v>
      </c>
      <c r="T47" s="2">
        <v>3</v>
      </c>
      <c r="U47" s="2">
        <v>4</v>
      </c>
      <c r="V47" s="2">
        <v>3</v>
      </c>
      <c r="W47" s="2"/>
      <c r="X47" s="2">
        <v>1</v>
      </c>
      <c r="Y47" s="2">
        <v>4</v>
      </c>
      <c r="Z47" s="2">
        <v>3</v>
      </c>
      <c r="AA47" s="2">
        <v>3</v>
      </c>
      <c r="AB47" s="2">
        <v>1</v>
      </c>
      <c r="AC47" s="2">
        <v>1</v>
      </c>
      <c r="AD47" s="2">
        <v>1</v>
      </c>
      <c r="AE47" s="2"/>
      <c r="AF47" s="3"/>
    </row>
    <row r="48" spans="1:32" x14ac:dyDescent="0.35">
      <c r="A48" s="5" t="s">
        <v>75</v>
      </c>
      <c r="B48" s="5" t="s">
        <v>17</v>
      </c>
      <c r="C48" s="5">
        <v>4</v>
      </c>
      <c r="D48" s="5">
        <v>3</v>
      </c>
      <c r="E48" s="5">
        <v>0</v>
      </c>
      <c r="F48" s="5">
        <v>0</v>
      </c>
      <c r="G48" s="5">
        <v>2</v>
      </c>
      <c r="H48" s="5">
        <v>1</v>
      </c>
      <c r="I48" s="5">
        <v>2</v>
      </c>
      <c r="J48" s="5" t="s">
        <v>37</v>
      </c>
      <c r="K48" s="5">
        <v>4</v>
      </c>
      <c r="L48" s="5">
        <v>2</v>
      </c>
      <c r="M48" s="5">
        <v>4</v>
      </c>
      <c r="N48" s="5"/>
      <c r="O48" s="5">
        <v>4</v>
      </c>
      <c r="P48" s="5">
        <v>2</v>
      </c>
      <c r="Q48" s="5">
        <v>2</v>
      </c>
      <c r="R48" s="5">
        <v>4</v>
      </c>
      <c r="S48" s="5">
        <v>2</v>
      </c>
      <c r="T48" s="5">
        <v>4</v>
      </c>
      <c r="U48" s="5">
        <v>3</v>
      </c>
      <c r="V48" s="5">
        <v>4</v>
      </c>
      <c r="W48" s="5"/>
      <c r="X48" s="5">
        <v>4</v>
      </c>
      <c r="Y48" s="5">
        <v>3</v>
      </c>
      <c r="Z48" s="5">
        <v>3</v>
      </c>
      <c r="AA48" s="5">
        <v>3</v>
      </c>
      <c r="AB48" s="5">
        <v>3</v>
      </c>
      <c r="AC48" s="5">
        <v>4</v>
      </c>
      <c r="AD48" s="5">
        <v>3</v>
      </c>
      <c r="AE48" s="5"/>
      <c r="AF48" s="6" t="s">
        <v>142</v>
      </c>
    </row>
    <row r="49" spans="1:32" x14ac:dyDescent="0.35">
      <c r="A49" s="5" t="s">
        <v>49</v>
      </c>
      <c r="B49" s="5" t="s">
        <v>17</v>
      </c>
      <c r="C49" s="5">
        <v>4</v>
      </c>
      <c r="D49" s="5">
        <v>2</v>
      </c>
      <c r="E49" s="5">
        <v>0</v>
      </c>
      <c r="F49" s="5">
        <v>0</v>
      </c>
      <c r="G49" s="5">
        <v>1</v>
      </c>
      <c r="H49" s="5">
        <v>1</v>
      </c>
      <c r="I49" s="5">
        <v>0</v>
      </c>
      <c r="J49" s="5" t="s">
        <v>169</v>
      </c>
      <c r="K49" s="5">
        <v>1</v>
      </c>
      <c r="L49" s="5">
        <v>1</v>
      </c>
      <c r="M49" s="5">
        <v>2</v>
      </c>
      <c r="N49" s="5" t="s">
        <v>51</v>
      </c>
      <c r="O49" s="5">
        <v>2</v>
      </c>
      <c r="P49" s="5">
        <v>1</v>
      </c>
      <c r="Q49" s="5">
        <v>1</v>
      </c>
      <c r="R49" s="5">
        <v>2</v>
      </c>
      <c r="S49" s="5">
        <v>2</v>
      </c>
      <c r="T49" s="5">
        <v>1</v>
      </c>
      <c r="U49" s="5">
        <v>1</v>
      </c>
      <c r="V49" s="5">
        <v>2</v>
      </c>
      <c r="W49" s="5" t="s">
        <v>51</v>
      </c>
      <c r="X49" s="5">
        <v>2</v>
      </c>
      <c r="Y49" s="5">
        <v>1</v>
      </c>
      <c r="Z49" s="5">
        <v>1</v>
      </c>
      <c r="AA49" s="5">
        <v>0</v>
      </c>
      <c r="AB49" s="5">
        <v>2</v>
      </c>
      <c r="AC49" s="5">
        <v>2</v>
      </c>
      <c r="AD49" s="5">
        <v>2</v>
      </c>
      <c r="AE49" s="5"/>
      <c r="AF49" s="6"/>
    </row>
    <row r="50" spans="1:32" x14ac:dyDescent="0.35">
      <c r="A50" s="5" t="s">
        <v>180</v>
      </c>
      <c r="B50" s="5" t="s">
        <v>17</v>
      </c>
      <c r="C50" s="5">
        <v>4</v>
      </c>
      <c r="D50" s="5">
        <v>3</v>
      </c>
      <c r="E50" s="5">
        <v>1</v>
      </c>
      <c r="F50" s="5">
        <v>1</v>
      </c>
      <c r="G50" s="5">
        <v>2</v>
      </c>
      <c r="H50" s="5">
        <v>1</v>
      </c>
      <c r="I50" s="5">
        <v>1</v>
      </c>
      <c r="J50" s="5" t="s">
        <v>214</v>
      </c>
      <c r="K50" s="5">
        <v>2</v>
      </c>
      <c r="L50" s="5">
        <v>2</v>
      </c>
      <c r="M50" s="5">
        <v>3</v>
      </c>
      <c r="N50" s="5"/>
      <c r="O50" s="5">
        <v>4</v>
      </c>
      <c r="P50" s="5">
        <v>3</v>
      </c>
      <c r="Q50" s="5">
        <v>3</v>
      </c>
      <c r="R50" s="5">
        <v>3</v>
      </c>
      <c r="S50" s="5">
        <v>2</v>
      </c>
      <c r="T50" s="5">
        <v>2</v>
      </c>
      <c r="U50" s="5">
        <v>2</v>
      </c>
      <c r="V50" s="5">
        <v>2</v>
      </c>
      <c r="W50" s="5"/>
      <c r="X50" s="5">
        <v>3</v>
      </c>
      <c r="Y50" s="5">
        <v>3</v>
      </c>
      <c r="Z50" s="5">
        <v>2</v>
      </c>
      <c r="AA50" s="5">
        <v>2</v>
      </c>
      <c r="AB50" s="5">
        <v>2</v>
      </c>
      <c r="AC50" s="5">
        <v>3</v>
      </c>
      <c r="AD50" s="5">
        <v>3</v>
      </c>
      <c r="AE50" s="5"/>
      <c r="AF50" s="6"/>
    </row>
    <row r="51" spans="1:32" x14ac:dyDescent="0.35">
      <c r="A51" s="5" t="s">
        <v>159</v>
      </c>
      <c r="B51" s="5" t="s">
        <v>17</v>
      </c>
      <c r="C51" s="5">
        <v>4</v>
      </c>
      <c r="D51" s="5">
        <v>3</v>
      </c>
      <c r="E51" s="5">
        <v>1</v>
      </c>
      <c r="F51" s="5">
        <v>1</v>
      </c>
      <c r="G51" s="5">
        <v>2</v>
      </c>
      <c r="H51" s="5">
        <v>2</v>
      </c>
      <c r="I51" s="5">
        <v>0</v>
      </c>
      <c r="J51" s="5"/>
      <c r="K51" s="5">
        <v>3</v>
      </c>
      <c r="L51" s="5">
        <v>2</v>
      </c>
      <c r="M51" s="5">
        <v>3</v>
      </c>
      <c r="N51" s="5"/>
      <c r="O51" s="5">
        <v>3</v>
      </c>
      <c r="P51" s="5">
        <v>2</v>
      </c>
      <c r="Q51" s="5">
        <v>1</v>
      </c>
      <c r="R51" s="5">
        <v>3</v>
      </c>
      <c r="S51" s="5">
        <v>2</v>
      </c>
      <c r="T51" s="5">
        <v>2</v>
      </c>
      <c r="U51" s="5">
        <v>2</v>
      </c>
      <c r="V51" s="5">
        <v>3</v>
      </c>
      <c r="W51" s="5"/>
      <c r="X51" s="5">
        <v>4</v>
      </c>
      <c r="Y51" s="5">
        <v>2</v>
      </c>
      <c r="Z51" s="5">
        <v>2</v>
      </c>
      <c r="AA51" s="5">
        <v>2</v>
      </c>
      <c r="AB51" s="5">
        <v>5</v>
      </c>
      <c r="AC51" s="5">
        <v>4</v>
      </c>
      <c r="AD51" s="5">
        <v>4</v>
      </c>
      <c r="AE51" s="5"/>
      <c r="AF51" s="6"/>
    </row>
    <row r="52" spans="1:32" s="29" customFormat="1" ht="13.15" x14ac:dyDescent="0.4">
      <c r="A52" s="28" t="s">
        <v>295</v>
      </c>
      <c r="D52" s="30">
        <f>AVERAGE(D45:D51)</f>
        <v>2.4285714285714284</v>
      </c>
      <c r="E52" s="30">
        <f t="shared" ref="E52:AE52" si="4">AVERAGE(E45:E51)</f>
        <v>0.2857142857142857</v>
      </c>
      <c r="F52" s="30">
        <f t="shared" si="4"/>
        <v>0.5714285714285714</v>
      </c>
      <c r="G52" s="30">
        <f t="shared" si="4"/>
        <v>1.4285714285714286</v>
      </c>
      <c r="H52" s="30">
        <f t="shared" si="4"/>
        <v>0.7142857142857143</v>
      </c>
      <c r="I52" s="30">
        <f t="shared" si="4"/>
        <v>1</v>
      </c>
      <c r="J52" s="30"/>
      <c r="K52" s="30">
        <f t="shared" si="4"/>
        <v>2.4285714285714284</v>
      </c>
      <c r="L52" s="30">
        <f t="shared" si="4"/>
        <v>1.8571428571428572</v>
      </c>
      <c r="M52" s="30">
        <f t="shared" si="4"/>
        <v>2.1428571428571428</v>
      </c>
      <c r="N52" s="30"/>
      <c r="O52" s="30">
        <f t="shared" si="4"/>
        <v>3</v>
      </c>
      <c r="P52" s="30">
        <f t="shared" si="4"/>
        <v>1.7142857142857142</v>
      </c>
      <c r="Q52" s="30">
        <f t="shared" si="4"/>
        <v>2</v>
      </c>
      <c r="R52" s="30">
        <f t="shared" si="4"/>
        <v>3.1428571428571428</v>
      </c>
      <c r="S52" s="30">
        <f t="shared" si="4"/>
        <v>1.5714285714285714</v>
      </c>
      <c r="T52" s="30">
        <f t="shared" si="4"/>
        <v>2.5714285714285716</v>
      </c>
      <c r="U52" s="30">
        <f t="shared" si="4"/>
        <v>2.2857142857142856</v>
      </c>
      <c r="V52" s="30">
        <f t="shared" si="4"/>
        <v>2.7142857142857144</v>
      </c>
      <c r="W52" s="30"/>
      <c r="X52" s="30">
        <f t="shared" si="4"/>
        <v>3.1428571428571428</v>
      </c>
      <c r="Y52" s="30">
        <f t="shared" si="4"/>
        <v>2.8571428571428572</v>
      </c>
      <c r="Z52" s="30">
        <f t="shared" si="4"/>
        <v>2.2857142857142856</v>
      </c>
      <c r="AA52" s="30">
        <f t="shared" si="4"/>
        <v>2.4285714285714284</v>
      </c>
      <c r="AB52" s="30">
        <f t="shared" si="4"/>
        <v>2.7142857142857144</v>
      </c>
      <c r="AC52" s="30">
        <f t="shared" si="4"/>
        <v>2.7142857142857144</v>
      </c>
      <c r="AD52" s="30">
        <f t="shared" si="4"/>
        <v>2.7142857142857144</v>
      </c>
      <c r="AE52" s="30" t="e">
        <f t="shared" si="4"/>
        <v>#DIV/0!</v>
      </c>
    </row>
    <row r="54" spans="1:32" ht="13.15" x14ac:dyDescent="0.35">
      <c r="A54" s="26" t="s">
        <v>20</v>
      </c>
    </row>
    <row r="55" spans="1:32" ht="51" x14ac:dyDescent="0.35">
      <c r="A55" s="10" t="s">
        <v>1</v>
      </c>
      <c r="B55" s="10" t="s">
        <v>2</v>
      </c>
      <c r="C55" s="10" t="s">
        <v>3</v>
      </c>
      <c r="D55" s="21" t="s">
        <v>287</v>
      </c>
      <c r="E55" s="21" t="s">
        <v>292</v>
      </c>
      <c r="F55" s="21" t="s">
        <v>293</v>
      </c>
      <c r="G55" s="21" t="s">
        <v>47</v>
      </c>
      <c r="H55" s="22" t="s">
        <v>288</v>
      </c>
      <c r="I55" s="22" t="s">
        <v>289</v>
      </c>
      <c r="J55" s="10" t="s">
        <v>4</v>
      </c>
      <c r="K55" s="22" t="s">
        <v>37</v>
      </c>
      <c r="L55" s="22" t="s">
        <v>290</v>
      </c>
      <c r="M55" s="22" t="s">
        <v>291</v>
      </c>
      <c r="N55" s="10" t="s">
        <v>5</v>
      </c>
      <c r="O55" s="21" t="s">
        <v>294</v>
      </c>
      <c r="P55" s="21" t="s">
        <v>292</v>
      </c>
      <c r="Q55" s="21" t="s">
        <v>293</v>
      </c>
      <c r="R55" s="21" t="s">
        <v>47</v>
      </c>
      <c r="S55" s="22" t="s">
        <v>288</v>
      </c>
      <c r="T55" s="22" t="s">
        <v>37</v>
      </c>
      <c r="U55" s="22" t="s">
        <v>290</v>
      </c>
      <c r="V55" s="22" t="s">
        <v>291</v>
      </c>
      <c r="W55" s="10" t="s">
        <v>6</v>
      </c>
      <c r="X55" s="11" t="s">
        <v>7</v>
      </c>
      <c r="Y55" s="10" t="s">
        <v>8</v>
      </c>
      <c r="Z55" s="10" t="s">
        <v>9</v>
      </c>
      <c r="AA55" s="10" t="s">
        <v>10</v>
      </c>
      <c r="AB55" s="10" t="s">
        <v>11</v>
      </c>
      <c r="AC55" s="10" t="s">
        <v>12</v>
      </c>
      <c r="AD55" s="10" t="s">
        <v>13</v>
      </c>
      <c r="AE55" s="11" t="s">
        <v>14</v>
      </c>
      <c r="AF55" s="12" t="s">
        <v>15</v>
      </c>
    </row>
    <row r="56" spans="1:32" x14ac:dyDescent="0.35">
      <c r="A56" s="5" t="s">
        <v>23</v>
      </c>
      <c r="B56" s="5" t="s">
        <v>20</v>
      </c>
      <c r="C56" s="5">
        <v>4</v>
      </c>
      <c r="D56" s="5">
        <v>2</v>
      </c>
      <c r="E56" s="5">
        <v>4</v>
      </c>
      <c r="F56" s="5">
        <v>0</v>
      </c>
      <c r="G56" s="5">
        <v>3</v>
      </c>
      <c r="H56" s="5">
        <v>3</v>
      </c>
      <c r="I56" s="5">
        <v>0</v>
      </c>
      <c r="J56" s="5"/>
      <c r="K56" s="5">
        <v>4</v>
      </c>
      <c r="L56" s="5">
        <v>4</v>
      </c>
      <c r="M56" s="5">
        <v>1</v>
      </c>
      <c r="N56" s="5"/>
      <c r="O56" s="5">
        <v>2</v>
      </c>
      <c r="P56" s="5">
        <v>4</v>
      </c>
      <c r="Q56" s="5">
        <v>2</v>
      </c>
      <c r="R56" s="5">
        <v>4</v>
      </c>
      <c r="S56" s="5">
        <v>2</v>
      </c>
      <c r="T56" s="5">
        <v>4</v>
      </c>
      <c r="U56" s="5">
        <v>4</v>
      </c>
      <c r="V56" s="5">
        <v>2</v>
      </c>
      <c r="W56" s="5"/>
      <c r="X56" s="5">
        <v>2</v>
      </c>
      <c r="Y56" s="5">
        <v>4</v>
      </c>
      <c r="Z56" s="5">
        <v>2</v>
      </c>
      <c r="AA56" s="5">
        <v>4</v>
      </c>
      <c r="AB56" s="5">
        <v>3</v>
      </c>
      <c r="AC56" s="5">
        <v>3</v>
      </c>
      <c r="AD56" s="5">
        <v>3</v>
      </c>
      <c r="AE56" s="5">
        <v>6.7</v>
      </c>
      <c r="AF56" s="6"/>
    </row>
    <row r="57" spans="1:32" x14ac:dyDescent="0.35">
      <c r="A57" s="5" t="s">
        <v>30</v>
      </c>
      <c r="B57" s="5" t="s">
        <v>20</v>
      </c>
      <c r="C57" s="5">
        <v>4</v>
      </c>
      <c r="D57" s="5">
        <v>3.5</v>
      </c>
      <c r="E57" s="5">
        <v>5</v>
      </c>
      <c r="F57" s="5">
        <v>3</v>
      </c>
      <c r="G57" s="5">
        <v>2</v>
      </c>
      <c r="H57" s="5">
        <v>2</v>
      </c>
      <c r="I57" s="5">
        <v>2</v>
      </c>
      <c r="J57" s="5"/>
      <c r="K57" s="5">
        <v>4</v>
      </c>
      <c r="L57" s="5">
        <v>3</v>
      </c>
      <c r="M57" s="5">
        <v>1</v>
      </c>
      <c r="N57" s="5" t="s">
        <v>111</v>
      </c>
      <c r="O57" s="5">
        <v>5</v>
      </c>
      <c r="P57" s="5">
        <v>2</v>
      </c>
      <c r="Q57" s="5">
        <v>4</v>
      </c>
      <c r="R57" s="5">
        <v>5</v>
      </c>
      <c r="S57" s="5">
        <v>3</v>
      </c>
      <c r="T57" s="5">
        <v>1</v>
      </c>
      <c r="U57" s="5">
        <v>4</v>
      </c>
      <c r="V57" s="5">
        <v>5</v>
      </c>
      <c r="W57" s="5"/>
      <c r="X57" s="5">
        <v>3</v>
      </c>
      <c r="Y57" s="5">
        <v>4</v>
      </c>
      <c r="Z57" s="5">
        <v>5</v>
      </c>
      <c r="AA57" s="5">
        <v>3</v>
      </c>
      <c r="AB57" s="5">
        <v>2</v>
      </c>
      <c r="AC57" s="5">
        <v>3</v>
      </c>
      <c r="AD57" s="5">
        <v>2</v>
      </c>
      <c r="AE57" s="5"/>
      <c r="AF57" s="6"/>
    </row>
    <row r="58" spans="1:32" x14ac:dyDescent="0.35">
      <c r="A58" s="2" t="s">
        <v>91</v>
      </c>
      <c r="B58" s="2" t="s">
        <v>20</v>
      </c>
      <c r="C58" s="2">
        <v>4</v>
      </c>
      <c r="D58" s="2">
        <v>4</v>
      </c>
      <c r="E58" s="2">
        <v>1</v>
      </c>
      <c r="F58" s="2">
        <v>3</v>
      </c>
      <c r="G58" s="2">
        <v>4</v>
      </c>
      <c r="H58" s="2">
        <v>2</v>
      </c>
      <c r="I58" s="2">
        <v>0</v>
      </c>
      <c r="J58" s="2" t="s">
        <v>149</v>
      </c>
      <c r="K58" s="2">
        <v>1</v>
      </c>
      <c r="L58" s="2">
        <v>3</v>
      </c>
      <c r="M58" s="2">
        <v>3</v>
      </c>
      <c r="N58" s="2"/>
      <c r="O58" s="2">
        <v>4</v>
      </c>
      <c r="P58" s="2">
        <v>2</v>
      </c>
      <c r="Q58" s="2">
        <v>4</v>
      </c>
      <c r="R58" s="2">
        <v>5</v>
      </c>
      <c r="S58" s="2">
        <v>2</v>
      </c>
      <c r="T58" s="2">
        <v>2</v>
      </c>
      <c r="U58" s="2">
        <v>3</v>
      </c>
      <c r="V58" s="2">
        <v>3</v>
      </c>
      <c r="W58" s="2"/>
      <c r="X58" s="2">
        <v>2</v>
      </c>
      <c r="Y58" s="2">
        <v>3</v>
      </c>
      <c r="Z58" s="2">
        <v>4</v>
      </c>
      <c r="AA58" s="2">
        <v>3</v>
      </c>
      <c r="AB58" s="2">
        <v>2</v>
      </c>
      <c r="AC58" s="2">
        <v>2</v>
      </c>
      <c r="AD58" s="2">
        <v>2</v>
      </c>
      <c r="AE58" s="2" t="s">
        <v>150</v>
      </c>
      <c r="AF58" s="3"/>
    </row>
    <row r="59" spans="1:32" x14ac:dyDescent="0.35">
      <c r="A59" s="2" t="s">
        <v>44</v>
      </c>
      <c r="B59" s="2" t="s">
        <v>20</v>
      </c>
      <c r="C59" s="2">
        <v>4</v>
      </c>
      <c r="D59" s="2">
        <v>3</v>
      </c>
      <c r="E59" s="2">
        <v>0</v>
      </c>
      <c r="F59" s="2">
        <v>1</v>
      </c>
      <c r="G59" s="2">
        <v>1</v>
      </c>
      <c r="H59" s="2">
        <v>1</v>
      </c>
      <c r="I59" s="2">
        <v>0</v>
      </c>
      <c r="J59" s="2"/>
      <c r="K59" s="2">
        <v>2</v>
      </c>
      <c r="L59" s="2">
        <v>2</v>
      </c>
      <c r="M59" s="2">
        <v>1</v>
      </c>
      <c r="N59" s="2"/>
      <c r="O59" s="2">
        <v>2</v>
      </c>
      <c r="P59" s="2">
        <v>1</v>
      </c>
      <c r="Q59" s="2">
        <v>2</v>
      </c>
      <c r="R59" s="2">
        <v>2</v>
      </c>
      <c r="S59" s="2">
        <v>2</v>
      </c>
      <c r="T59" s="2">
        <v>2</v>
      </c>
      <c r="U59" s="2">
        <v>3</v>
      </c>
      <c r="V59" s="2">
        <v>1</v>
      </c>
      <c r="W59" s="2" t="s">
        <v>154</v>
      </c>
      <c r="X59" s="2">
        <v>4</v>
      </c>
      <c r="Y59" s="2">
        <v>3</v>
      </c>
      <c r="Z59" s="2">
        <v>1</v>
      </c>
      <c r="AA59" s="2">
        <v>2</v>
      </c>
      <c r="AB59" s="2">
        <v>2</v>
      </c>
      <c r="AC59" s="2">
        <v>2</v>
      </c>
      <c r="AD59" s="2">
        <v>3</v>
      </c>
      <c r="AE59" s="2"/>
      <c r="AF59" s="3"/>
    </row>
    <row r="60" spans="1:32" x14ac:dyDescent="0.35">
      <c r="A60" s="2" t="s">
        <v>24</v>
      </c>
      <c r="B60" s="2" t="s">
        <v>20</v>
      </c>
      <c r="C60" s="2">
        <v>4</v>
      </c>
      <c r="D60" s="2">
        <v>1</v>
      </c>
      <c r="E60" s="2">
        <v>2</v>
      </c>
      <c r="F60" s="2">
        <v>1</v>
      </c>
      <c r="G60" s="2">
        <v>1</v>
      </c>
      <c r="H60" s="2">
        <v>0</v>
      </c>
      <c r="I60" s="2">
        <v>3</v>
      </c>
      <c r="J60" s="2" t="s">
        <v>157</v>
      </c>
      <c r="K60" s="2">
        <v>4</v>
      </c>
      <c r="L60" s="2">
        <v>1</v>
      </c>
      <c r="M60" s="2">
        <v>2</v>
      </c>
      <c r="N60" s="2"/>
      <c r="O60" s="2">
        <v>4</v>
      </c>
      <c r="P60" s="2">
        <v>4</v>
      </c>
      <c r="Q60" s="2">
        <v>2</v>
      </c>
      <c r="R60" s="2">
        <v>2</v>
      </c>
      <c r="S60" s="2">
        <v>1</v>
      </c>
      <c r="T60" s="2">
        <v>2</v>
      </c>
      <c r="U60" s="2">
        <v>2</v>
      </c>
      <c r="V60" s="2">
        <v>3</v>
      </c>
      <c r="W60" s="2"/>
      <c r="X60" s="2">
        <v>3</v>
      </c>
      <c r="Y60" s="2">
        <v>3</v>
      </c>
      <c r="Z60" s="2">
        <v>3</v>
      </c>
      <c r="AA60" s="2">
        <v>2</v>
      </c>
      <c r="AB60" s="2">
        <v>2</v>
      </c>
      <c r="AC60" s="2">
        <v>3</v>
      </c>
      <c r="AD60" s="2">
        <v>3</v>
      </c>
      <c r="AE60" s="2" t="s">
        <v>158</v>
      </c>
      <c r="AF60" s="3"/>
    </row>
    <row r="61" spans="1:32" x14ac:dyDescent="0.35">
      <c r="A61" s="5" t="s">
        <v>33</v>
      </c>
      <c r="B61" s="5" t="s">
        <v>20</v>
      </c>
      <c r="C61" s="5">
        <v>4</v>
      </c>
      <c r="D61" s="5">
        <v>2</v>
      </c>
      <c r="E61" s="5">
        <v>1</v>
      </c>
      <c r="F61" s="5">
        <v>3</v>
      </c>
      <c r="G61" s="5">
        <v>2</v>
      </c>
      <c r="H61" s="5">
        <v>3</v>
      </c>
      <c r="I61" s="5">
        <v>0</v>
      </c>
      <c r="J61" s="5"/>
      <c r="K61" s="5">
        <v>3</v>
      </c>
      <c r="L61" s="5">
        <v>4</v>
      </c>
      <c r="M61" s="5">
        <v>1</v>
      </c>
      <c r="N61" s="5"/>
      <c r="O61" s="5">
        <v>5</v>
      </c>
      <c r="P61" s="5">
        <v>2</v>
      </c>
      <c r="Q61" s="5">
        <v>3</v>
      </c>
      <c r="R61" s="5">
        <v>5</v>
      </c>
      <c r="S61" s="5">
        <v>4</v>
      </c>
      <c r="T61" s="5">
        <v>2</v>
      </c>
      <c r="U61" s="5">
        <v>3</v>
      </c>
      <c r="V61" s="5">
        <v>1</v>
      </c>
      <c r="W61" s="5"/>
      <c r="X61" s="5">
        <v>3</v>
      </c>
      <c r="Y61" s="5">
        <v>4</v>
      </c>
      <c r="Z61" s="5">
        <v>5</v>
      </c>
      <c r="AA61" s="5">
        <v>3</v>
      </c>
      <c r="AB61" s="5">
        <v>1</v>
      </c>
      <c r="AC61" s="5">
        <v>2</v>
      </c>
      <c r="AD61" s="5">
        <v>3</v>
      </c>
      <c r="AE61" s="5"/>
      <c r="AF61" s="6"/>
    </row>
    <row r="62" spans="1:32" x14ac:dyDescent="0.35">
      <c r="A62" s="2" t="s">
        <v>176</v>
      </c>
      <c r="B62" s="2" t="s">
        <v>20</v>
      </c>
      <c r="C62" s="2">
        <v>4</v>
      </c>
      <c r="D62" s="2">
        <v>3</v>
      </c>
      <c r="E62" s="2">
        <v>3</v>
      </c>
      <c r="F62" s="2">
        <v>0</v>
      </c>
      <c r="G62" s="2">
        <v>0</v>
      </c>
      <c r="H62" s="2">
        <v>0</v>
      </c>
      <c r="I62" s="2">
        <v>0</v>
      </c>
      <c r="J62" s="2" t="s">
        <v>177</v>
      </c>
      <c r="K62" s="2">
        <v>1</v>
      </c>
      <c r="L62" s="2">
        <v>1</v>
      </c>
      <c r="M62" s="2">
        <v>2</v>
      </c>
      <c r="N62" s="2" t="s">
        <v>178</v>
      </c>
      <c r="O62" s="2">
        <v>2</v>
      </c>
      <c r="P62" s="2">
        <v>4</v>
      </c>
      <c r="Q62" s="2">
        <v>1</v>
      </c>
      <c r="R62" s="2">
        <v>1</v>
      </c>
      <c r="S62" s="2">
        <v>1</v>
      </c>
      <c r="T62" s="2">
        <v>1</v>
      </c>
      <c r="U62" s="2">
        <v>1</v>
      </c>
      <c r="V62" s="2">
        <v>1</v>
      </c>
      <c r="W62" s="2" t="s">
        <v>179</v>
      </c>
      <c r="X62" s="2">
        <v>1</v>
      </c>
      <c r="Y62" s="2">
        <v>4</v>
      </c>
      <c r="Z62" s="2">
        <v>1</v>
      </c>
      <c r="AA62" s="2">
        <v>1</v>
      </c>
      <c r="AB62" s="2">
        <v>5</v>
      </c>
      <c r="AC62" s="2">
        <v>2</v>
      </c>
      <c r="AD62" s="2">
        <v>2</v>
      </c>
      <c r="AE62" s="2"/>
      <c r="AF62" s="3"/>
    </row>
    <row r="63" spans="1:32" x14ac:dyDescent="0.35">
      <c r="A63" s="2" t="s">
        <v>39</v>
      </c>
      <c r="B63" s="2" t="s">
        <v>20</v>
      </c>
      <c r="C63" s="2">
        <v>4</v>
      </c>
      <c r="D63" s="2">
        <v>3</v>
      </c>
      <c r="E63" s="2">
        <v>1</v>
      </c>
      <c r="F63" s="2">
        <v>2</v>
      </c>
      <c r="G63" s="2">
        <v>2</v>
      </c>
      <c r="H63" s="2">
        <v>0</v>
      </c>
      <c r="I63" s="2">
        <v>0</v>
      </c>
      <c r="J63" s="2" t="s">
        <v>112</v>
      </c>
      <c r="K63" s="2">
        <v>3</v>
      </c>
      <c r="L63" s="2">
        <v>3</v>
      </c>
      <c r="M63" s="2">
        <v>3</v>
      </c>
      <c r="N63" s="2"/>
      <c r="O63" s="2">
        <v>3</v>
      </c>
      <c r="P63" s="2">
        <v>2</v>
      </c>
      <c r="Q63" s="2">
        <v>3</v>
      </c>
      <c r="R63" s="2">
        <v>3</v>
      </c>
      <c r="S63" s="2">
        <v>1</v>
      </c>
      <c r="T63" s="2">
        <v>3</v>
      </c>
      <c r="U63" s="2">
        <v>3</v>
      </c>
      <c r="V63" s="2">
        <v>3</v>
      </c>
      <c r="W63" s="2"/>
      <c r="X63" s="2">
        <v>3</v>
      </c>
      <c r="Y63" s="2">
        <v>2</v>
      </c>
      <c r="Z63" s="2">
        <v>2</v>
      </c>
      <c r="AA63" s="2">
        <v>2</v>
      </c>
      <c r="AB63" s="2">
        <v>3</v>
      </c>
      <c r="AC63" s="2">
        <v>3</v>
      </c>
      <c r="AD63" s="2">
        <v>3</v>
      </c>
      <c r="AE63" s="2"/>
      <c r="AF63" s="3"/>
    </row>
    <row r="64" spans="1:32" x14ac:dyDescent="0.35">
      <c r="A64" s="5" t="s">
        <v>74</v>
      </c>
      <c r="B64" s="5" t="s">
        <v>20</v>
      </c>
      <c r="C64" s="5">
        <v>4</v>
      </c>
      <c r="D64" s="5">
        <v>2</v>
      </c>
      <c r="E64" s="5">
        <v>1</v>
      </c>
      <c r="F64" s="5">
        <v>0</v>
      </c>
      <c r="G64" s="5">
        <v>3</v>
      </c>
      <c r="H64" s="5">
        <v>0</v>
      </c>
      <c r="I64" s="5">
        <v>0</v>
      </c>
      <c r="J64" s="5"/>
      <c r="K64" s="5">
        <v>1</v>
      </c>
      <c r="L64" s="5">
        <v>1</v>
      </c>
      <c r="M64" s="5">
        <v>3</v>
      </c>
      <c r="N64" s="5"/>
      <c r="O64" s="5">
        <v>4</v>
      </c>
      <c r="P64" s="5">
        <v>1</v>
      </c>
      <c r="Q64" s="5">
        <v>3</v>
      </c>
      <c r="R64" s="5">
        <v>4</v>
      </c>
      <c r="S64" s="5">
        <v>1</v>
      </c>
      <c r="T64" s="5">
        <v>1</v>
      </c>
      <c r="U64" s="5">
        <v>1</v>
      </c>
      <c r="V64" s="5">
        <v>3</v>
      </c>
      <c r="W64" s="5"/>
      <c r="X64" s="5">
        <v>3</v>
      </c>
      <c r="Y64" s="5">
        <v>5</v>
      </c>
      <c r="Z64" s="5">
        <v>4</v>
      </c>
      <c r="AA64" s="5">
        <v>4</v>
      </c>
      <c r="AB64" s="5">
        <v>3</v>
      </c>
      <c r="AC64" s="5">
        <v>4</v>
      </c>
      <c r="AD64" s="5">
        <v>3</v>
      </c>
      <c r="AE64" s="5"/>
      <c r="AF64" s="6"/>
    </row>
    <row r="65" spans="1:32" x14ac:dyDescent="0.35">
      <c r="A65" s="5" t="s">
        <v>107</v>
      </c>
      <c r="B65" s="5" t="s">
        <v>20</v>
      </c>
      <c r="C65" s="5">
        <v>4</v>
      </c>
      <c r="D65" s="5">
        <v>2</v>
      </c>
      <c r="E65" s="5">
        <v>4</v>
      </c>
      <c r="F65" s="5">
        <v>3</v>
      </c>
      <c r="G65" s="5">
        <v>2.5</v>
      </c>
      <c r="H65" s="5">
        <v>1</v>
      </c>
      <c r="I65" s="5">
        <v>1</v>
      </c>
      <c r="J65" s="5" t="s">
        <v>185</v>
      </c>
      <c r="K65" s="5">
        <v>2</v>
      </c>
      <c r="L65" s="5">
        <v>3</v>
      </c>
      <c r="M65" s="5">
        <v>3</v>
      </c>
      <c r="N65" s="5"/>
      <c r="O65" s="5">
        <v>4</v>
      </c>
      <c r="P65" s="5">
        <v>4</v>
      </c>
      <c r="Q65" s="5">
        <v>4</v>
      </c>
      <c r="R65" s="5">
        <v>4</v>
      </c>
      <c r="S65" s="5">
        <v>2</v>
      </c>
      <c r="T65" s="5">
        <v>2</v>
      </c>
      <c r="U65" s="5">
        <v>4</v>
      </c>
      <c r="V65" s="5">
        <v>4</v>
      </c>
      <c r="W65" s="5" t="s">
        <v>186</v>
      </c>
      <c r="X65" s="5">
        <v>4</v>
      </c>
      <c r="Y65" s="5">
        <v>4</v>
      </c>
      <c r="Z65" s="5">
        <v>4</v>
      </c>
      <c r="AA65" s="5">
        <v>4</v>
      </c>
      <c r="AB65" s="5">
        <v>4</v>
      </c>
      <c r="AC65" s="5">
        <v>4</v>
      </c>
      <c r="AD65" s="5">
        <v>4</v>
      </c>
      <c r="AE65" s="5"/>
      <c r="AF65" s="6"/>
    </row>
    <row r="66" spans="1:32" x14ac:dyDescent="0.35">
      <c r="A66" s="5" t="s">
        <v>81</v>
      </c>
      <c r="B66" s="5" t="s">
        <v>20</v>
      </c>
      <c r="C66" s="5">
        <v>4</v>
      </c>
      <c r="D66" s="5">
        <v>1</v>
      </c>
      <c r="E66" s="5">
        <v>1</v>
      </c>
      <c r="F66" s="5">
        <v>0</v>
      </c>
      <c r="G66" s="5">
        <v>0</v>
      </c>
      <c r="H66" s="5">
        <v>0</v>
      </c>
      <c r="I66" s="5">
        <v>0</v>
      </c>
      <c r="J66" s="5"/>
      <c r="K66" s="5">
        <v>1</v>
      </c>
      <c r="L66" s="5">
        <v>3</v>
      </c>
      <c r="M66" s="5">
        <v>1</v>
      </c>
      <c r="N66" s="5"/>
      <c r="O66" s="5">
        <v>4</v>
      </c>
      <c r="P66" s="5">
        <v>2</v>
      </c>
      <c r="Q66" s="5">
        <v>1</v>
      </c>
      <c r="R66" s="5">
        <v>3</v>
      </c>
      <c r="S66" s="5">
        <v>1</v>
      </c>
      <c r="T66" s="5">
        <v>1</v>
      </c>
      <c r="U66" s="5">
        <v>3</v>
      </c>
      <c r="V66" s="5">
        <v>1</v>
      </c>
      <c r="W66" s="5"/>
      <c r="X66" s="5">
        <v>1</v>
      </c>
      <c r="Y66" s="5">
        <v>3</v>
      </c>
      <c r="Z66" s="5">
        <v>1</v>
      </c>
      <c r="AA66" s="5">
        <v>2</v>
      </c>
      <c r="AB66" s="5">
        <v>2</v>
      </c>
      <c r="AC66" s="5">
        <v>2</v>
      </c>
      <c r="AD66" s="5">
        <v>2</v>
      </c>
      <c r="AE66" s="5"/>
      <c r="AF66" s="6"/>
    </row>
    <row r="67" spans="1:32" x14ac:dyDescent="0.35">
      <c r="A67" s="2" t="s">
        <v>28</v>
      </c>
      <c r="B67" s="2" t="s">
        <v>20</v>
      </c>
      <c r="C67" s="2">
        <v>4</v>
      </c>
      <c r="D67" s="2">
        <v>4</v>
      </c>
      <c r="E67" s="2">
        <v>2</v>
      </c>
      <c r="F67" s="2">
        <v>2</v>
      </c>
      <c r="G67" s="2">
        <v>4</v>
      </c>
      <c r="H67" s="2">
        <v>4</v>
      </c>
      <c r="I67" s="2">
        <v>1</v>
      </c>
      <c r="J67" s="2"/>
      <c r="K67" s="2">
        <v>2</v>
      </c>
      <c r="L67" s="2">
        <v>3</v>
      </c>
      <c r="M67" s="2">
        <v>1</v>
      </c>
      <c r="N67" s="2"/>
      <c r="O67" s="2">
        <v>5</v>
      </c>
      <c r="P67" s="2">
        <v>5</v>
      </c>
      <c r="Q67" s="2">
        <v>5</v>
      </c>
      <c r="R67" s="2">
        <v>4</v>
      </c>
      <c r="S67" s="2">
        <v>1</v>
      </c>
      <c r="T67" s="2">
        <v>1</v>
      </c>
      <c r="U67" s="2">
        <v>1</v>
      </c>
      <c r="V67" s="2">
        <v>1</v>
      </c>
      <c r="W67" s="2" t="s">
        <v>187</v>
      </c>
      <c r="X67" s="2">
        <v>1</v>
      </c>
      <c r="Y67" s="2">
        <v>5</v>
      </c>
      <c r="Z67" s="2">
        <v>5</v>
      </c>
      <c r="AA67" s="2">
        <v>5</v>
      </c>
      <c r="AB67" s="2">
        <v>1</v>
      </c>
      <c r="AC67" s="2">
        <v>1</v>
      </c>
      <c r="AD67" s="2">
        <v>1</v>
      </c>
      <c r="AE67" s="2"/>
      <c r="AF67" s="3" t="s">
        <v>188</v>
      </c>
    </row>
    <row r="68" spans="1:32" x14ac:dyDescent="0.35">
      <c r="A68" s="2" t="s">
        <v>196</v>
      </c>
      <c r="B68" s="2" t="s">
        <v>20</v>
      </c>
      <c r="C68" s="2">
        <v>4</v>
      </c>
      <c r="D68" s="2">
        <v>2</v>
      </c>
      <c r="E68" s="2">
        <v>1</v>
      </c>
      <c r="F68" s="2">
        <v>1</v>
      </c>
      <c r="G68" s="2">
        <v>2</v>
      </c>
      <c r="H68" s="2">
        <v>2</v>
      </c>
      <c r="I68" s="2">
        <v>1</v>
      </c>
      <c r="J68" s="2" t="s">
        <v>197</v>
      </c>
      <c r="K68" s="2">
        <v>4</v>
      </c>
      <c r="L68" s="2">
        <v>2</v>
      </c>
      <c r="M68" s="2">
        <v>1</v>
      </c>
      <c r="N68" s="2"/>
      <c r="O68" s="2">
        <v>3</v>
      </c>
      <c r="P68" s="2">
        <v>1</v>
      </c>
      <c r="Q68" s="2">
        <v>2</v>
      </c>
      <c r="R68" s="2">
        <v>2</v>
      </c>
      <c r="S68" s="2">
        <v>1</v>
      </c>
      <c r="T68" s="2">
        <v>4</v>
      </c>
      <c r="U68" s="2">
        <v>2</v>
      </c>
      <c r="V68" s="2">
        <v>1</v>
      </c>
      <c r="W68" s="2"/>
      <c r="X68" s="2">
        <v>4</v>
      </c>
      <c r="Y68" s="2">
        <v>2</v>
      </c>
      <c r="Z68" s="2">
        <v>1</v>
      </c>
      <c r="AA68" s="2">
        <v>3</v>
      </c>
      <c r="AB68" s="2">
        <v>5</v>
      </c>
      <c r="AC68" s="2">
        <v>4</v>
      </c>
      <c r="AD68" s="2">
        <v>5</v>
      </c>
      <c r="AE68" s="2"/>
      <c r="AF68" s="3"/>
    </row>
    <row r="69" spans="1:32" x14ac:dyDescent="0.35">
      <c r="A69" s="2" t="s">
        <v>63</v>
      </c>
      <c r="B69" s="2" t="s">
        <v>20</v>
      </c>
      <c r="C69" s="2">
        <v>4</v>
      </c>
      <c r="D69" s="2">
        <v>4</v>
      </c>
      <c r="E69" s="2">
        <v>0</v>
      </c>
      <c r="F69" s="2">
        <v>0</v>
      </c>
      <c r="G69" s="2">
        <v>4</v>
      </c>
      <c r="H69" s="2">
        <v>2</v>
      </c>
      <c r="I69" s="2">
        <v>2</v>
      </c>
      <c r="J69" s="2" t="s">
        <v>37</v>
      </c>
      <c r="K69" s="2">
        <v>4</v>
      </c>
      <c r="L69" s="2">
        <v>2</v>
      </c>
      <c r="M69" s="2">
        <v>1</v>
      </c>
      <c r="N69" s="2"/>
      <c r="O69" s="2">
        <v>5</v>
      </c>
      <c r="P69" s="2">
        <v>1</v>
      </c>
      <c r="Q69" s="2">
        <v>4</v>
      </c>
      <c r="R69" s="2">
        <v>5</v>
      </c>
      <c r="S69" s="2">
        <v>3</v>
      </c>
      <c r="T69" s="2">
        <v>4</v>
      </c>
      <c r="U69" s="2">
        <v>3</v>
      </c>
      <c r="V69" s="2">
        <v>1</v>
      </c>
      <c r="W69" s="2"/>
      <c r="X69" s="2">
        <v>5</v>
      </c>
      <c r="Y69" s="2">
        <v>4</v>
      </c>
      <c r="Z69" s="2">
        <v>3</v>
      </c>
      <c r="AA69" s="2">
        <v>4</v>
      </c>
      <c r="AB69" s="2">
        <v>4</v>
      </c>
      <c r="AC69" s="2">
        <v>4</v>
      </c>
      <c r="AD69" s="2">
        <v>5</v>
      </c>
      <c r="AE69" s="2"/>
      <c r="AF69" s="3"/>
    </row>
    <row r="70" spans="1:32" x14ac:dyDescent="0.35">
      <c r="A70" s="2" t="s">
        <v>161</v>
      </c>
      <c r="B70" s="2" t="s">
        <v>20</v>
      </c>
      <c r="C70" s="2">
        <v>4</v>
      </c>
      <c r="D70" s="2">
        <v>1</v>
      </c>
      <c r="E70" s="2">
        <v>3</v>
      </c>
      <c r="F70" s="2">
        <v>1</v>
      </c>
      <c r="G70" s="2">
        <v>1</v>
      </c>
      <c r="H70" s="2">
        <v>2.5</v>
      </c>
      <c r="I70" s="2">
        <v>0</v>
      </c>
      <c r="J70" s="2"/>
      <c r="K70" s="2">
        <v>2</v>
      </c>
      <c r="L70" s="2">
        <v>1</v>
      </c>
      <c r="M70" s="2">
        <v>2</v>
      </c>
      <c r="N70" s="2"/>
      <c r="O70" s="2">
        <v>1</v>
      </c>
      <c r="P70" s="2">
        <v>1</v>
      </c>
      <c r="Q70" s="2">
        <v>4</v>
      </c>
      <c r="R70" s="2">
        <v>2</v>
      </c>
      <c r="S70" s="2">
        <v>3</v>
      </c>
      <c r="T70" s="2">
        <v>3</v>
      </c>
      <c r="U70" s="2">
        <v>2</v>
      </c>
      <c r="V70" s="2">
        <v>1</v>
      </c>
      <c r="W70" s="2"/>
      <c r="X70" s="2">
        <v>1</v>
      </c>
      <c r="Y70" s="2">
        <v>4</v>
      </c>
      <c r="Z70" s="2">
        <v>2</v>
      </c>
      <c r="AA70" s="2">
        <v>3</v>
      </c>
      <c r="AB70" s="2">
        <v>5</v>
      </c>
      <c r="AC70" s="2">
        <v>3</v>
      </c>
      <c r="AD70" s="2">
        <v>4</v>
      </c>
      <c r="AE70" s="2"/>
      <c r="AF70" s="3"/>
    </row>
    <row r="71" spans="1:32" x14ac:dyDescent="0.35">
      <c r="A71" s="2" t="s">
        <v>29</v>
      </c>
      <c r="B71" s="2" t="s">
        <v>20</v>
      </c>
      <c r="C71" s="2">
        <v>4</v>
      </c>
      <c r="D71" s="2">
        <v>4</v>
      </c>
      <c r="E71" s="2">
        <v>1</v>
      </c>
      <c r="F71" s="2">
        <v>3</v>
      </c>
      <c r="G71" s="2">
        <v>3</v>
      </c>
      <c r="H71" s="2">
        <v>0</v>
      </c>
      <c r="I71" s="2">
        <v>2</v>
      </c>
      <c r="J71" s="2" t="s">
        <v>37</v>
      </c>
      <c r="K71" s="2">
        <v>1</v>
      </c>
      <c r="L71" s="2">
        <v>3</v>
      </c>
      <c r="M71" s="2">
        <v>4</v>
      </c>
      <c r="N71" s="2"/>
      <c r="O71" s="2">
        <v>2</v>
      </c>
      <c r="P71" s="2">
        <v>4</v>
      </c>
      <c r="Q71" s="2">
        <v>2</v>
      </c>
      <c r="R71" s="2">
        <v>1</v>
      </c>
      <c r="S71" s="2">
        <v>1</v>
      </c>
      <c r="T71" s="2">
        <v>1</v>
      </c>
      <c r="U71" s="2">
        <v>1</v>
      </c>
      <c r="V71" s="2">
        <v>1</v>
      </c>
      <c r="W71" s="2"/>
      <c r="X71" s="2">
        <v>4</v>
      </c>
      <c r="Y71" s="2">
        <v>3</v>
      </c>
      <c r="Z71" s="2">
        <v>2</v>
      </c>
      <c r="AA71" s="2">
        <v>4</v>
      </c>
      <c r="AB71" s="2">
        <v>4</v>
      </c>
      <c r="AC71" s="2">
        <v>4</v>
      </c>
      <c r="AD71" s="2">
        <v>5</v>
      </c>
      <c r="AE71" s="2" t="s">
        <v>217</v>
      </c>
      <c r="AF71" s="3"/>
    </row>
    <row r="72" spans="1:32" x14ac:dyDescent="0.35">
      <c r="A72" s="2" t="s">
        <v>201</v>
      </c>
      <c r="B72" s="2" t="s">
        <v>20</v>
      </c>
      <c r="C72" s="2">
        <v>4</v>
      </c>
      <c r="D72" s="2">
        <v>2</v>
      </c>
      <c r="E72" s="2">
        <v>0</v>
      </c>
      <c r="F72" s="2">
        <v>1</v>
      </c>
      <c r="G72" s="2">
        <v>2</v>
      </c>
      <c r="H72" s="2">
        <v>0</v>
      </c>
      <c r="I72" s="2">
        <v>0</v>
      </c>
      <c r="J72" s="2"/>
      <c r="K72" s="2">
        <v>2</v>
      </c>
      <c r="L72" s="2">
        <v>1</v>
      </c>
      <c r="M72" s="2">
        <v>2</v>
      </c>
      <c r="N72" s="2"/>
      <c r="O72" s="2">
        <v>4</v>
      </c>
      <c r="P72" s="2">
        <v>1</v>
      </c>
      <c r="Q72" s="2">
        <v>3</v>
      </c>
      <c r="R72" s="2">
        <v>4</v>
      </c>
      <c r="S72" s="2">
        <v>2</v>
      </c>
      <c r="T72" s="2">
        <v>2</v>
      </c>
      <c r="U72" s="2">
        <v>2</v>
      </c>
      <c r="V72" s="2">
        <v>2</v>
      </c>
      <c r="W72" s="2" t="s">
        <v>224</v>
      </c>
      <c r="X72" s="2">
        <v>2</v>
      </c>
      <c r="Y72" s="2">
        <v>4</v>
      </c>
      <c r="Z72" s="2">
        <v>4</v>
      </c>
      <c r="AA72" s="2">
        <v>2</v>
      </c>
      <c r="AB72" s="2">
        <v>3</v>
      </c>
      <c r="AC72" s="2">
        <v>3</v>
      </c>
      <c r="AD72" s="2">
        <v>3</v>
      </c>
      <c r="AE72" s="2"/>
      <c r="AF72" s="3"/>
    </row>
    <row r="73" spans="1:32" x14ac:dyDescent="0.35">
      <c r="A73" s="5" t="s">
        <v>82</v>
      </c>
      <c r="B73" s="5" t="s">
        <v>20</v>
      </c>
      <c r="C73" s="5">
        <v>4</v>
      </c>
      <c r="D73" s="5">
        <v>4</v>
      </c>
      <c r="E73" s="5">
        <v>4</v>
      </c>
      <c r="F73" s="5">
        <v>4</v>
      </c>
      <c r="G73" s="5">
        <v>4</v>
      </c>
      <c r="H73" s="5">
        <v>4</v>
      </c>
      <c r="I73" s="5">
        <v>0</v>
      </c>
      <c r="J73" s="5"/>
      <c r="K73" s="5">
        <v>3</v>
      </c>
      <c r="L73" s="5">
        <v>3</v>
      </c>
      <c r="M73" s="5">
        <v>2</v>
      </c>
      <c r="N73" s="5" t="s">
        <v>248</v>
      </c>
      <c r="O73" s="5">
        <v>3</v>
      </c>
      <c r="P73" s="5">
        <v>4</v>
      </c>
      <c r="Q73" s="5">
        <v>3</v>
      </c>
      <c r="R73" s="5">
        <v>4</v>
      </c>
      <c r="S73" s="5">
        <v>3</v>
      </c>
      <c r="T73" s="5">
        <v>3</v>
      </c>
      <c r="U73" s="5">
        <v>2</v>
      </c>
      <c r="V73" s="5">
        <v>2</v>
      </c>
      <c r="W73" s="5" t="s">
        <v>249</v>
      </c>
      <c r="X73" s="5">
        <v>4</v>
      </c>
      <c r="Y73" s="5">
        <v>4</v>
      </c>
      <c r="Z73" s="5">
        <v>3</v>
      </c>
      <c r="AA73" s="5">
        <v>4</v>
      </c>
      <c r="AB73" s="5">
        <v>4</v>
      </c>
      <c r="AC73" s="5">
        <v>4</v>
      </c>
      <c r="AD73" s="5">
        <v>4</v>
      </c>
      <c r="AE73" s="5"/>
      <c r="AF73" s="6"/>
    </row>
    <row r="74" spans="1:32" x14ac:dyDescent="0.35">
      <c r="A74" s="5" t="s">
        <v>258</v>
      </c>
      <c r="B74" s="5" t="s">
        <v>20</v>
      </c>
      <c r="C74" s="5">
        <v>4</v>
      </c>
      <c r="D74" s="5">
        <v>4</v>
      </c>
      <c r="E74" s="5">
        <v>2</v>
      </c>
      <c r="F74" s="5">
        <v>3</v>
      </c>
      <c r="G74" s="5">
        <v>3</v>
      </c>
      <c r="H74" s="5">
        <v>3</v>
      </c>
      <c r="I74" s="5">
        <v>3</v>
      </c>
      <c r="J74" s="5" t="s">
        <v>259</v>
      </c>
      <c r="K74" s="5">
        <v>4</v>
      </c>
      <c r="L74" s="5">
        <v>3</v>
      </c>
      <c r="M74" s="5">
        <v>4</v>
      </c>
      <c r="N74" s="5" t="s">
        <v>260</v>
      </c>
      <c r="O74" s="5">
        <v>4</v>
      </c>
      <c r="P74" s="5">
        <v>3</v>
      </c>
      <c r="Q74" s="5">
        <v>3</v>
      </c>
      <c r="R74" s="5">
        <v>3</v>
      </c>
      <c r="S74" s="5">
        <v>3</v>
      </c>
      <c r="T74" s="5">
        <v>3</v>
      </c>
      <c r="U74" s="5">
        <v>3</v>
      </c>
      <c r="V74" s="5">
        <v>3</v>
      </c>
      <c r="W74" s="5"/>
      <c r="X74" s="5">
        <v>4</v>
      </c>
      <c r="Y74" s="5">
        <v>3</v>
      </c>
      <c r="Z74" s="5">
        <v>3</v>
      </c>
      <c r="AA74" s="5">
        <v>4</v>
      </c>
      <c r="AB74" s="5">
        <v>4</v>
      </c>
      <c r="AC74" s="5">
        <v>4</v>
      </c>
      <c r="AD74" s="5">
        <v>4</v>
      </c>
      <c r="AE74" s="5" t="s">
        <v>261</v>
      </c>
      <c r="AF74" s="6" t="s">
        <v>262</v>
      </c>
    </row>
    <row r="75" spans="1:32" s="29" customFormat="1" ht="13.15" x14ac:dyDescent="0.4">
      <c r="A75" s="28" t="s">
        <v>295</v>
      </c>
      <c r="D75" s="30">
        <f>AVERAGE(D56:D74)</f>
        <v>2.7105263157894739</v>
      </c>
      <c r="E75" s="30">
        <f t="shared" ref="E75:AC75" si="5">AVERAGE(E56:E74)</f>
        <v>1.8947368421052631</v>
      </c>
      <c r="F75" s="30">
        <f t="shared" si="5"/>
        <v>1.631578947368421</v>
      </c>
      <c r="G75" s="30">
        <f t="shared" si="5"/>
        <v>2.2894736842105261</v>
      </c>
      <c r="H75" s="30">
        <f t="shared" si="5"/>
        <v>1.5526315789473684</v>
      </c>
      <c r="I75" s="30">
        <f t="shared" si="5"/>
        <v>0.78947368421052633</v>
      </c>
      <c r="J75" s="30"/>
      <c r="K75" s="30">
        <f t="shared" si="5"/>
        <v>2.5263157894736841</v>
      </c>
      <c r="L75" s="30">
        <f t="shared" si="5"/>
        <v>2.4210526315789473</v>
      </c>
      <c r="M75" s="30">
        <f t="shared" si="5"/>
        <v>2</v>
      </c>
      <c r="N75" s="30"/>
      <c r="O75" s="30">
        <f t="shared" si="5"/>
        <v>3.4736842105263159</v>
      </c>
      <c r="P75" s="30">
        <f t="shared" si="5"/>
        <v>2.5263157894736841</v>
      </c>
      <c r="Q75" s="30">
        <f t="shared" si="5"/>
        <v>2.8947368421052633</v>
      </c>
      <c r="R75" s="30">
        <f t="shared" si="5"/>
        <v>3.3157894736842106</v>
      </c>
      <c r="S75" s="30">
        <f t="shared" si="5"/>
        <v>1.9473684210526316</v>
      </c>
      <c r="T75" s="30">
        <f t="shared" si="5"/>
        <v>2.2105263157894739</v>
      </c>
      <c r="U75" s="30">
        <f t="shared" si="5"/>
        <v>2.4736842105263159</v>
      </c>
      <c r="V75" s="30">
        <f t="shared" si="5"/>
        <v>2.0526315789473686</v>
      </c>
      <c r="W75" s="30"/>
      <c r="X75" s="30">
        <f t="shared" si="5"/>
        <v>2.8421052631578947</v>
      </c>
      <c r="Y75" s="30">
        <f t="shared" si="5"/>
        <v>3.5789473684210527</v>
      </c>
      <c r="Z75" s="30">
        <f t="shared" si="5"/>
        <v>2.8947368421052633</v>
      </c>
      <c r="AA75" s="30">
        <f t="shared" si="5"/>
        <v>3.1052631578947367</v>
      </c>
      <c r="AB75" s="30">
        <f t="shared" si="5"/>
        <v>3.1052631578947367</v>
      </c>
      <c r="AC75" s="30">
        <f t="shared" si="5"/>
        <v>3</v>
      </c>
      <c r="AD75" s="30">
        <f>AVERAGE(AD56:AD74)</f>
        <v>3.2105263157894739</v>
      </c>
      <c r="AE75" s="30"/>
      <c r="AF75" s="30"/>
    </row>
  </sheetData>
  <autoFilter ref="A1:AF33" xr:uid="{6544942C-7EF9-4B6E-B3A0-B1DD88B844F7}"/>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EFBFD-CCD9-4A01-B60E-1CD2B521210A}">
  <dimension ref="A1:AF76"/>
  <sheetViews>
    <sheetView topLeftCell="A62" zoomScale="80" zoomScaleNormal="80" workbookViewId="0">
      <selection activeCell="AE81" sqref="AE81"/>
    </sheetView>
  </sheetViews>
  <sheetFormatPr baseColWidth="10" defaultRowHeight="12.75" x14ac:dyDescent="0.35"/>
  <cols>
    <col min="1" max="1" width="19.796875" bestFit="1" customWidth="1"/>
    <col min="2" max="2" width="28.796875" bestFit="1" customWidth="1"/>
    <col min="3" max="3" width="4.6640625" customWidth="1"/>
    <col min="23" max="23" width="58" customWidth="1"/>
    <col min="31" max="31" width="106.46484375" customWidth="1"/>
    <col min="32" max="32" width="116.46484375" bestFit="1" customWidth="1"/>
  </cols>
  <sheetData>
    <row r="1" spans="1:32" ht="51" x14ac:dyDescent="0.35">
      <c r="A1" s="10" t="s">
        <v>1</v>
      </c>
      <c r="B1" s="10" t="s">
        <v>2</v>
      </c>
      <c r="C1" s="10" t="s">
        <v>3</v>
      </c>
      <c r="D1" s="21" t="s">
        <v>296</v>
      </c>
      <c r="E1" s="21" t="s">
        <v>292</v>
      </c>
      <c r="F1" s="21" t="s">
        <v>293</v>
      </c>
      <c r="G1" s="21" t="s">
        <v>47</v>
      </c>
      <c r="H1" s="22" t="s">
        <v>288</v>
      </c>
      <c r="I1" s="22" t="s">
        <v>289</v>
      </c>
      <c r="J1" s="10" t="s">
        <v>4</v>
      </c>
      <c r="K1" s="22" t="s">
        <v>37</v>
      </c>
      <c r="L1" s="22" t="s">
        <v>290</v>
      </c>
      <c r="M1" s="22" t="s">
        <v>291</v>
      </c>
      <c r="N1" s="10" t="s">
        <v>5</v>
      </c>
      <c r="O1" s="21" t="s">
        <v>294</v>
      </c>
      <c r="P1" s="21" t="s">
        <v>292</v>
      </c>
      <c r="Q1" s="21" t="s">
        <v>293</v>
      </c>
      <c r="R1" s="21" t="s">
        <v>47</v>
      </c>
      <c r="S1" s="22" t="s">
        <v>288</v>
      </c>
      <c r="T1" s="22" t="s">
        <v>37</v>
      </c>
      <c r="U1" s="22" t="s">
        <v>290</v>
      </c>
      <c r="V1" s="22" t="s">
        <v>291</v>
      </c>
      <c r="W1" s="10" t="s">
        <v>6</v>
      </c>
      <c r="X1" s="11" t="s">
        <v>299</v>
      </c>
      <c r="Y1" s="22" t="s">
        <v>297</v>
      </c>
      <c r="Z1" s="22" t="s">
        <v>287</v>
      </c>
      <c r="AA1" s="22" t="s">
        <v>298</v>
      </c>
      <c r="AB1" s="32" t="s">
        <v>300</v>
      </c>
      <c r="AC1" s="32" t="s">
        <v>301</v>
      </c>
      <c r="AD1" s="32" t="s">
        <v>302</v>
      </c>
      <c r="AE1" s="11" t="s">
        <v>14</v>
      </c>
      <c r="AF1" s="12" t="s">
        <v>15</v>
      </c>
    </row>
    <row r="2" spans="1:32" x14ac:dyDescent="0.35">
      <c r="A2" s="13" t="s">
        <v>30</v>
      </c>
      <c r="B2" s="13" t="s">
        <v>20</v>
      </c>
      <c r="C2" s="13">
        <v>7</v>
      </c>
      <c r="D2" s="13">
        <v>4</v>
      </c>
      <c r="E2" s="13">
        <v>1</v>
      </c>
      <c r="F2" s="13">
        <v>3</v>
      </c>
      <c r="G2" s="13">
        <v>4</v>
      </c>
      <c r="H2" s="13">
        <v>2</v>
      </c>
      <c r="I2" s="13">
        <v>0</v>
      </c>
      <c r="J2" s="13"/>
      <c r="K2" s="13">
        <v>2</v>
      </c>
      <c r="L2" s="13">
        <v>4</v>
      </c>
      <c r="M2" s="13">
        <v>5</v>
      </c>
      <c r="N2" s="13" t="s">
        <v>164</v>
      </c>
      <c r="O2" s="13">
        <v>5</v>
      </c>
      <c r="P2" s="13">
        <v>2</v>
      </c>
      <c r="Q2" s="13">
        <v>5</v>
      </c>
      <c r="R2" s="13">
        <v>5</v>
      </c>
      <c r="S2" s="13">
        <v>4</v>
      </c>
      <c r="T2" s="13">
        <v>1</v>
      </c>
      <c r="U2" s="13">
        <v>1</v>
      </c>
      <c r="V2" s="13">
        <v>4</v>
      </c>
      <c r="W2" s="13" t="s">
        <v>104</v>
      </c>
      <c r="X2" s="13">
        <v>2</v>
      </c>
      <c r="Y2" s="13">
        <v>5</v>
      </c>
      <c r="Z2" s="13">
        <v>4</v>
      </c>
      <c r="AA2" s="13">
        <v>4</v>
      </c>
      <c r="AB2" s="13">
        <v>4</v>
      </c>
      <c r="AC2" s="13">
        <v>4</v>
      </c>
      <c r="AD2" s="13">
        <v>3</v>
      </c>
      <c r="AE2" s="13"/>
      <c r="AF2" s="14"/>
    </row>
    <row r="3" spans="1:32" x14ac:dyDescent="0.35">
      <c r="A3" s="15" t="s">
        <v>16</v>
      </c>
      <c r="B3" s="15" t="s">
        <v>17</v>
      </c>
      <c r="C3" s="15">
        <v>7</v>
      </c>
      <c r="D3" s="15">
        <v>2</v>
      </c>
      <c r="E3" s="15">
        <v>4</v>
      </c>
      <c r="F3" s="15">
        <v>1</v>
      </c>
      <c r="G3" s="15">
        <v>1</v>
      </c>
      <c r="H3" s="15">
        <v>2</v>
      </c>
      <c r="I3" s="15">
        <v>0</v>
      </c>
      <c r="J3" s="15"/>
      <c r="K3" s="15">
        <v>1</v>
      </c>
      <c r="L3" s="15">
        <v>2</v>
      </c>
      <c r="M3" s="15">
        <v>5</v>
      </c>
      <c r="N3" s="15" t="s">
        <v>206</v>
      </c>
      <c r="O3" s="15">
        <v>3</v>
      </c>
      <c r="P3" s="15">
        <v>5</v>
      </c>
      <c r="Q3" s="15">
        <v>3</v>
      </c>
      <c r="R3" s="15">
        <v>1</v>
      </c>
      <c r="S3" s="15">
        <v>1</v>
      </c>
      <c r="T3" s="15">
        <v>2</v>
      </c>
      <c r="U3" s="15">
        <v>3</v>
      </c>
      <c r="V3" s="15">
        <v>4</v>
      </c>
      <c r="W3" s="15"/>
      <c r="X3" s="15">
        <v>3</v>
      </c>
      <c r="Y3" s="15">
        <v>4</v>
      </c>
      <c r="Z3" s="15">
        <v>5</v>
      </c>
      <c r="AA3" s="15">
        <v>3</v>
      </c>
      <c r="AB3" s="15">
        <v>2</v>
      </c>
      <c r="AC3" s="15">
        <v>2</v>
      </c>
      <c r="AD3" s="15">
        <v>1</v>
      </c>
      <c r="AE3" s="15"/>
      <c r="AF3" s="16"/>
    </row>
    <row r="4" spans="1:32" x14ac:dyDescent="0.35">
      <c r="A4" s="19" t="s">
        <v>45</v>
      </c>
      <c r="B4" s="19" t="s">
        <v>17</v>
      </c>
      <c r="C4" s="19">
        <v>7</v>
      </c>
      <c r="D4" s="19">
        <v>4</v>
      </c>
      <c r="E4" s="19">
        <v>0</v>
      </c>
      <c r="F4" s="19">
        <v>2</v>
      </c>
      <c r="G4" s="19">
        <v>3</v>
      </c>
      <c r="H4" s="19">
        <v>0</v>
      </c>
      <c r="I4" s="19">
        <v>2</v>
      </c>
      <c r="J4" s="19" t="s">
        <v>218</v>
      </c>
      <c r="K4" s="19">
        <v>3</v>
      </c>
      <c r="L4" s="19">
        <v>3</v>
      </c>
      <c r="M4" s="19">
        <v>2</v>
      </c>
      <c r="N4" s="19" t="s">
        <v>164</v>
      </c>
      <c r="O4" s="19">
        <v>4</v>
      </c>
      <c r="P4" s="19">
        <v>1</v>
      </c>
      <c r="Q4" s="19">
        <v>3</v>
      </c>
      <c r="R4" s="19">
        <v>4</v>
      </c>
      <c r="S4" s="19">
        <v>1</v>
      </c>
      <c r="T4" s="19">
        <v>3</v>
      </c>
      <c r="U4" s="19">
        <v>2</v>
      </c>
      <c r="V4" s="19">
        <v>2</v>
      </c>
      <c r="W4" s="19" t="s">
        <v>219</v>
      </c>
      <c r="X4" s="19">
        <v>3</v>
      </c>
      <c r="Y4" s="19">
        <v>3</v>
      </c>
      <c r="Z4" s="19">
        <v>4</v>
      </c>
      <c r="AA4" s="19">
        <v>2</v>
      </c>
      <c r="AB4" s="19">
        <v>2</v>
      </c>
      <c r="AC4" s="19">
        <v>2</v>
      </c>
      <c r="AD4" s="19">
        <v>2</v>
      </c>
      <c r="AE4" s="19" t="s">
        <v>220</v>
      </c>
      <c r="AF4" s="20"/>
    </row>
    <row r="5" spans="1:32" x14ac:dyDescent="0.35">
      <c r="A5" s="17" t="s">
        <v>23</v>
      </c>
      <c r="B5" s="17" t="s">
        <v>20</v>
      </c>
      <c r="C5" s="17">
        <v>7</v>
      </c>
      <c r="D5" s="17">
        <v>3</v>
      </c>
      <c r="E5" s="17">
        <v>2</v>
      </c>
      <c r="F5" s="17">
        <v>0</v>
      </c>
      <c r="G5" s="17">
        <v>3</v>
      </c>
      <c r="H5" s="17">
        <v>1</v>
      </c>
      <c r="I5" s="17">
        <v>0</v>
      </c>
      <c r="J5" s="17"/>
      <c r="K5" s="17">
        <v>4</v>
      </c>
      <c r="L5" s="17">
        <v>4</v>
      </c>
      <c r="M5" s="17">
        <v>4</v>
      </c>
      <c r="N5" s="17" t="s">
        <v>223</v>
      </c>
      <c r="O5" s="17">
        <v>1</v>
      </c>
      <c r="P5" s="17">
        <v>3</v>
      </c>
      <c r="Q5" s="17">
        <v>2</v>
      </c>
      <c r="R5" s="17">
        <v>3</v>
      </c>
      <c r="S5" s="17">
        <v>3</v>
      </c>
      <c r="T5" s="17">
        <v>4</v>
      </c>
      <c r="U5" s="17">
        <v>4</v>
      </c>
      <c r="V5" s="17">
        <v>2</v>
      </c>
      <c r="W5" s="17"/>
      <c r="X5" s="17">
        <v>4</v>
      </c>
      <c r="Y5" s="17">
        <v>1</v>
      </c>
      <c r="Z5" s="17">
        <v>1</v>
      </c>
      <c r="AA5" s="17">
        <v>1</v>
      </c>
      <c r="AB5" s="17">
        <v>4</v>
      </c>
      <c r="AC5" s="17">
        <v>4</v>
      </c>
      <c r="AD5" s="17">
        <v>4</v>
      </c>
      <c r="AE5" s="17"/>
      <c r="AF5" s="18"/>
    </row>
    <row r="6" spans="1:32" x14ac:dyDescent="0.35">
      <c r="A6" s="19" t="s">
        <v>133</v>
      </c>
      <c r="B6" s="19" t="s">
        <v>20</v>
      </c>
      <c r="C6" s="19">
        <v>7</v>
      </c>
      <c r="D6" s="19">
        <v>2</v>
      </c>
      <c r="E6" s="19">
        <v>3</v>
      </c>
      <c r="F6" s="19">
        <v>2</v>
      </c>
      <c r="G6" s="19">
        <v>1</v>
      </c>
      <c r="H6" s="19">
        <v>0</v>
      </c>
      <c r="I6" s="19">
        <v>0</v>
      </c>
      <c r="J6" s="19" t="s">
        <v>218</v>
      </c>
      <c r="K6" s="19">
        <v>1</v>
      </c>
      <c r="L6" s="19">
        <v>1</v>
      </c>
      <c r="M6" s="19">
        <v>2</v>
      </c>
      <c r="N6" s="19"/>
      <c r="O6" s="19">
        <v>4</v>
      </c>
      <c r="P6" s="19">
        <v>4</v>
      </c>
      <c r="Q6" s="19">
        <v>3</v>
      </c>
      <c r="R6" s="19">
        <v>1</v>
      </c>
      <c r="S6" s="19">
        <v>1</v>
      </c>
      <c r="T6" s="19">
        <v>1</v>
      </c>
      <c r="U6" s="19">
        <v>1</v>
      </c>
      <c r="V6" s="19">
        <v>2</v>
      </c>
      <c r="W6" s="19" t="s">
        <v>226</v>
      </c>
      <c r="X6" s="19">
        <v>2</v>
      </c>
      <c r="Y6" s="19">
        <v>4</v>
      </c>
      <c r="Z6" s="19">
        <v>3</v>
      </c>
      <c r="AA6" s="19">
        <v>3</v>
      </c>
      <c r="AB6" s="19">
        <v>1</v>
      </c>
      <c r="AC6" s="19">
        <v>1</v>
      </c>
      <c r="AD6" s="19">
        <v>1</v>
      </c>
      <c r="AE6" s="19" t="s">
        <v>227</v>
      </c>
      <c r="AF6" s="20"/>
    </row>
    <row r="7" spans="1:32" x14ac:dyDescent="0.35">
      <c r="A7" s="15" t="s">
        <v>33</v>
      </c>
      <c r="B7" s="15" t="s">
        <v>20</v>
      </c>
      <c r="C7" s="15">
        <v>7</v>
      </c>
      <c r="D7" s="15">
        <v>3</v>
      </c>
      <c r="E7" s="15">
        <v>4</v>
      </c>
      <c r="F7" s="15">
        <v>5</v>
      </c>
      <c r="G7" s="15">
        <v>4</v>
      </c>
      <c r="H7" s="15">
        <v>1.5</v>
      </c>
      <c r="I7" s="15">
        <v>0</v>
      </c>
      <c r="J7" s="15" t="s">
        <v>203</v>
      </c>
      <c r="K7" s="15">
        <v>2</v>
      </c>
      <c r="L7" s="15">
        <v>1</v>
      </c>
      <c r="M7" s="15">
        <v>3</v>
      </c>
      <c r="N7" s="15"/>
      <c r="O7" s="15">
        <v>4</v>
      </c>
      <c r="P7" s="15">
        <v>1</v>
      </c>
      <c r="Q7" s="15">
        <v>5</v>
      </c>
      <c r="R7" s="15">
        <v>4</v>
      </c>
      <c r="S7" s="15">
        <v>3</v>
      </c>
      <c r="T7" s="15">
        <v>1</v>
      </c>
      <c r="U7" s="15">
        <v>3</v>
      </c>
      <c r="V7" s="15">
        <v>4</v>
      </c>
      <c r="W7" s="15"/>
      <c r="X7" s="15">
        <v>3</v>
      </c>
      <c r="Y7" s="15">
        <v>3</v>
      </c>
      <c r="Z7" s="15">
        <v>5</v>
      </c>
      <c r="AA7" s="15">
        <v>4</v>
      </c>
      <c r="AB7" s="15">
        <v>4</v>
      </c>
      <c r="AC7" s="15">
        <v>3</v>
      </c>
      <c r="AD7" s="15">
        <v>3</v>
      </c>
      <c r="AE7" s="15"/>
      <c r="AF7" s="16"/>
    </row>
    <row r="8" spans="1:32" x14ac:dyDescent="0.35">
      <c r="A8" s="13" t="s">
        <v>85</v>
      </c>
      <c r="B8" s="13" t="s">
        <v>20</v>
      </c>
      <c r="C8" s="13">
        <v>7</v>
      </c>
      <c r="D8" s="13">
        <v>5</v>
      </c>
      <c r="E8" s="13">
        <v>4</v>
      </c>
      <c r="F8" s="13">
        <v>3</v>
      </c>
      <c r="G8" s="13">
        <v>2</v>
      </c>
      <c r="H8" s="13">
        <v>1</v>
      </c>
      <c r="I8" s="13">
        <v>4</v>
      </c>
      <c r="J8" s="13" t="s">
        <v>233</v>
      </c>
      <c r="K8" s="13">
        <v>1</v>
      </c>
      <c r="L8" s="13">
        <v>1</v>
      </c>
      <c r="M8" s="13">
        <v>3</v>
      </c>
      <c r="N8" s="13" t="s">
        <v>234</v>
      </c>
      <c r="O8" s="13">
        <v>5</v>
      </c>
      <c r="P8" s="13">
        <v>4</v>
      </c>
      <c r="Q8" s="13">
        <v>5</v>
      </c>
      <c r="R8" s="13">
        <v>3</v>
      </c>
      <c r="S8" s="13">
        <v>1</v>
      </c>
      <c r="T8" s="13">
        <v>1</v>
      </c>
      <c r="U8" s="13">
        <v>1</v>
      </c>
      <c r="V8" s="13">
        <v>4</v>
      </c>
      <c r="W8" s="13" t="s">
        <v>235</v>
      </c>
      <c r="X8" s="13">
        <v>2</v>
      </c>
      <c r="Y8" s="13">
        <v>4</v>
      </c>
      <c r="Z8" s="13">
        <v>4</v>
      </c>
      <c r="AA8" s="13">
        <v>4</v>
      </c>
      <c r="AB8" s="13">
        <v>3</v>
      </c>
      <c r="AC8" s="13">
        <v>3</v>
      </c>
      <c r="AD8" s="13">
        <v>3</v>
      </c>
      <c r="AE8" s="13"/>
      <c r="AF8" s="14" t="s">
        <v>236</v>
      </c>
    </row>
    <row r="9" spans="1:32" x14ac:dyDescent="0.35">
      <c r="A9" s="17" t="s">
        <v>39</v>
      </c>
      <c r="B9" s="17" t="s">
        <v>20</v>
      </c>
      <c r="C9" s="17">
        <v>7</v>
      </c>
      <c r="D9" s="17">
        <v>3</v>
      </c>
      <c r="E9" s="17">
        <v>3</v>
      </c>
      <c r="F9" s="17">
        <v>3</v>
      </c>
      <c r="G9" s="17">
        <v>2</v>
      </c>
      <c r="H9" s="17">
        <v>0</v>
      </c>
      <c r="I9" s="17">
        <v>0</v>
      </c>
      <c r="J9" s="17" t="s">
        <v>112</v>
      </c>
      <c r="K9" s="17">
        <v>2</v>
      </c>
      <c r="L9" s="17">
        <v>3</v>
      </c>
      <c r="M9" s="17">
        <v>2</v>
      </c>
      <c r="N9" s="17"/>
      <c r="O9" s="17">
        <v>4</v>
      </c>
      <c r="P9" s="17">
        <v>4</v>
      </c>
      <c r="Q9" s="17">
        <v>4</v>
      </c>
      <c r="R9" s="17">
        <v>3</v>
      </c>
      <c r="S9" s="17">
        <v>1</v>
      </c>
      <c r="T9" s="17">
        <v>3</v>
      </c>
      <c r="U9" s="17">
        <v>3</v>
      </c>
      <c r="V9" s="17">
        <v>3</v>
      </c>
      <c r="W9" s="17"/>
      <c r="X9" s="17">
        <v>3</v>
      </c>
      <c r="Y9" s="17">
        <v>4</v>
      </c>
      <c r="Z9" s="17">
        <v>4</v>
      </c>
      <c r="AA9" s="17">
        <v>2.5</v>
      </c>
      <c r="AB9" s="17">
        <v>3</v>
      </c>
      <c r="AC9" s="17">
        <v>3</v>
      </c>
      <c r="AD9" s="17">
        <v>3</v>
      </c>
      <c r="AE9" s="17"/>
      <c r="AF9" s="18"/>
    </row>
    <row r="10" spans="1:32" x14ac:dyDescent="0.35">
      <c r="A10" s="13" t="s">
        <v>115</v>
      </c>
      <c r="B10" s="13" t="s">
        <v>17</v>
      </c>
      <c r="C10" s="13">
        <v>7</v>
      </c>
      <c r="D10" s="13">
        <v>4</v>
      </c>
      <c r="E10" s="13">
        <v>3</v>
      </c>
      <c r="F10" s="13">
        <v>1</v>
      </c>
      <c r="G10" s="13">
        <v>2</v>
      </c>
      <c r="H10" s="13">
        <v>3</v>
      </c>
      <c r="I10" s="13">
        <v>0</v>
      </c>
      <c r="J10" s="13"/>
      <c r="K10" s="13">
        <v>3</v>
      </c>
      <c r="L10" s="13">
        <v>5</v>
      </c>
      <c r="M10" s="13">
        <v>4</v>
      </c>
      <c r="N10" s="13"/>
      <c r="O10" s="13">
        <v>5</v>
      </c>
      <c r="P10" s="13">
        <v>5</v>
      </c>
      <c r="Q10" s="13">
        <v>1</v>
      </c>
      <c r="R10" s="13">
        <v>1</v>
      </c>
      <c r="S10" s="13">
        <v>2</v>
      </c>
      <c r="T10" s="13">
        <v>5</v>
      </c>
      <c r="U10" s="13">
        <v>3</v>
      </c>
      <c r="V10" s="13">
        <v>2</v>
      </c>
      <c r="W10" s="13"/>
      <c r="X10" s="13">
        <v>2</v>
      </c>
      <c r="Y10" s="13">
        <v>5</v>
      </c>
      <c r="Z10" s="13">
        <v>1</v>
      </c>
      <c r="AA10" s="13">
        <v>4</v>
      </c>
      <c r="AB10" s="13">
        <v>1</v>
      </c>
      <c r="AC10" s="13">
        <v>1</v>
      </c>
      <c r="AD10" s="13">
        <v>1</v>
      </c>
      <c r="AE10" s="13"/>
      <c r="AF10" s="14"/>
    </row>
    <row r="11" spans="1:32" x14ac:dyDescent="0.35">
      <c r="A11" s="15" t="s">
        <v>71</v>
      </c>
      <c r="B11" s="15" t="s">
        <v>20</v>
      </c>
      <c r="C11" s="15">
        <v>7</v>
      </c>
      <c r="D11" s="15">
        <v>4</v>
      </c>
      <c r="E11" s="15">
        <v>4</v>
      </c>
      <c r="F11" s="15">
        <v>3</v>
      </c>
      <c r="G11" s="15">
        <v>4</v>
      </c>
      <c r="H11" s="15">
        <v>1</v>
      </c>
      <c r="I11" s="15">
        <v>0</v>
      </c>
      <c r="J11" s="15"/>
      <c r="K11" s="15">
        <v>3</v>
      </c>
      <c r="L11" s="15">
        <v>2</v>
      </c>
      <c r="M11" s="15">
        <v>4</v>
      </c>
      <c r="N11" s="15" t="s">
        <v>238</v>
      </c>
      <c r="O11" s="15">
        <v>5</v>
      </c>
      <c r="P11" s="15">
        <v>4</v>
      </c>
      <c r="Q11" s="15">
        <v>5</v>
      </c>
      <c r="R11" s="15">
        <v>5</v>
      </c>
      <c r="S11" s="15">
        <v>3</v>
      </c>
      <c r="T11" s="15">
        <v>2</v>
      </c>
      <c r="U11" s="15">
        <v>1</v>
      </c>
      <c r="V11" s="15">
        <v>3</v>
      </c>
      <c r="W11" s="15"/>
      <c r="X11" s="15">
        <v>3</v>
      </c>
      <c r="Y11" s="15">
        <v>4</v>
      </c>
      <c r="Z11" s="15">
        <v>5</v>
      </c>
      <c r="AA11" s="15">
        <v>4</v>
      </c>
      <c r="AB11" s="15">
        <v>2</v>
      </c>
      <c r="AC11" s="15">
        <v>2</v>
      </c>
      <c r="AD11" s="15">
        <v>2</v>
      </c>
      <c r="AE11" s="15"/>
      <c r="AF11" s="16"/>
    </row>
    <row r="12" spans="1:32" x14ac:dyDescent="0.35">
      <c r="A12" s="13" t="s">
        <v>176</v>
      </c>
      <c r="B12" s="13" t="s">
        <v>20</v>
      </c>
      <c r="C12" s="13">
        <v>7</v>
      </c>
      <c r="D12" s="13">
        <v>4</v>
      </c>
      <c r="E12" s="13">
        <v>4</v>
      </c>
      <c r="F12" s="13">
        <v>1</v>
      </c>
      <c r="G12" s="13">
        <v>2</v>
      </c>
      <c r="H12" s="13">
        <v>0</v>
      </c>
      <c r="I12" s="13">
        <v>0</v>
      </c>
      <c r="J12" s="13" t="s">
        <v>242</v>
      </c>
      <c r="K12" s="13">
        <v>1</v>
      </c>
      <c r="L12" s="13">
        <v>1</v>
      </c>
      <c r="M12" s="13">
        <v>3</v>
      </c>
      <c r="N12" s="13" t="s">
        <v>179</v>
      </c>
      <c r="O12" s="13">
        <v>4</v>
      </c>
      <c r="P12" s="13">
        <v>4</v>
      </c>
      <c r="Q12" s="13">
        <v>1</v>
      </c>
      <c r="R12" s="13">
        <v>1</v>
      </c>
      <c r="S12" s="13">
        <v>1</v>
      </c>
      <c r="T12" s="13">
        <v>1</v>
      </c>
      <c r="U12" s="13">
        <v>1</v>
      </c>
      <c r="V12" s="13">
        <v>2</v>
      </c>
      <c r="W12" s="13" t="s">
        <v>243</v>
      </c>
      <c r="X12" s="13">
        <v>2</v>
      </c>
      <c r="Y12" s="13">
        <v>5</v>
      </c>
      <c r="Z12" s="13">
        <v>4</v>
      </c>
      <c r="AA12" s="13">
        <v>2</v>
      </c>
      <c r="AB12" s="13">
        <v>3</v>
      </c>
      <c r="AC12" s="13">
        <v>3</v>
      </c>
      <c r="AD12" s="13">
        <v>3</v>
      </c>
      <c r="AE12" s="13"/>
      <c r="AF12" s="14"/>
    </row>
    <row r="13" spans="1:32" x14ac:dyDescent="0.35">
      <c r="A13" s="15" t="s">
        <v>81</v>
      </c>
      <c r="B13" s="15" t="s">
        <v>20</v>
      </c>
      <c r="C13" s="15">
        <v>7</v>
      </c>
      <c r="D13" s="15">
        <v>1</v>
      </c>
      <c r="E13" s="15">
        <v>1</v>
      </c>
      <c r="F13" s="15">
        <v>0</v>
      </c>
      <c r="G13" s="15">
        <v>0</v>
      </c>
      <c r="H13" s="15">
        <v>1</v>
      </c>
      <c r="I13" s="15">
        <v>0</v>
      </c>
      <c r="J13" s="15"/>
      <c r="K13" s="15">
        <v>1</v>
      </c>
      <c r="L13" s="15">
        <v>2</v>
      </c>
      <c r="M13" s="15">
        <v>1</v>
      </c>
      <c r="N13" s="15"/>
      <c r="O13" s="15">
        <v>4</v>
      </c>
      <c r="P13" s="15">
        <v>2</v>
      </c>
      <c r="Q13" s="15">
        <v>1</v>
      </c>
      <c r="R13" s="15">
        <v>1</v>
      </c>
      <c r="S13" s="15">
        <v>2</v>
      </c>
      <c r="T13" s="15">
        <v>1</v>
      </c>
      <c r="U13" s="15">
        <v>2</v>
      </c>
      <c r="V13" s="15">
        <v>1</v>
      </c>
      <c r="W13" s="15"/>
      <c r="X13" s="15">
        <v>2</v>
      </c>
      <c r="Y13" s="15">
        <v>2</v>
      </c>
      <c r="Z13" s="15">
        <v>1</v>
      </c>
      <c r="AA13" s="15">
        <v>0</v>
      </c>
      <c r="AB13" s="15">
        <v>2</v>
      </c>
      <c r="AC13" s="15">
        <v>3</v>
      </c>
      <c r="AD13" s="15">
        <v>4</v>
      </c>
      <c r="AE13" s="15"/>
      <c r="AF13" s="16"/>
    </row>
    <row r="14" spans="1:32" x14ac:dyDescent="0.35">
      <c r="A14" s="19" t="s">
        <v>75</v>
      </c>
      <c r="B14" s="19" t="s">
        <v>17</v>
      </c>
      <c r="C14" s="19">
        <v>7</v>
      </c>
      <c r="D14" s="19">
        <v>4</v>
      </c>
      <c r="E14" s="19">
        <v>3</v>
      </c>
      <c r="F14" s="19">
        <v>1</v>
      </c>
      <c r="G14" s="19">
        <v>2</v>
      </c>
      <c r="H14" s="19">
        <v>2</v>
      </c>
      <c r="I14" s="19">
        <v>3</v>
      </c>
      <c r="J14" s="19" t="s">
        <v>37</v>
      </c>
      <c r="K14" s="19">
        <v>3</v>
      </c>
      <c r="L14" s="19">
        <v>2</v>
      </c>
      <c r="M14" s="19">
        <v>4</v>
      </c>
      <c r="N14" s="19"/>
      <c r="O14" s="19">
        <v>5</v>
      </c>
      <c r="P14" s="19">
        <v>4</v>
      </c>
      <c r="Q14" s="19">
        <v>2</v>
      </c>
      <c r="R14" s="19">
        <v>3</v>
      </c>
      <c r="S14" s="19">
        <v>2</v>
      </c>
      <c r="T14" s="19">
        <v>3</v>
      </c>
      <c r="U14" s="19">
        <v>2</v>
      </c>
      <c r="V14" s="19">
        <v>4</v>
      </c>
      <c r="W14" s="19"/>
      <c r="X14" s="19">
        <v>4</v>
      </c>
      <c r="Y14" s="19">
        <v>3</v>
      </c>
      <c r="Z14" s="19">
        <v>3</v>
      </c>
      <c r="AA14" s="19">
        <v>3</v>
      </c>
      <c r="AB14" s="19">
        <v>4</v>
      </c>
      <c r="AC14" s="19">
        <v>4</v>
      </c>
      <c r="AD14" s="19">
        <v>5</v>
      </c>
      <c r="AE14" s="19">
        <v>7</v>
      </c>
      <c r="AF14" s="20" t="s">
        <v>247</v>
      </c>
    </row>
    <row r="15" spans="1:32" x14ac:dyDescent="0.35">
      <c r="A15" s="17" t="s">
        <v>208</v>
      </c>
      <c r="B15" s="17" t="s">
        <v>20</v>
      </c>
      <c r="C15" s="17">
        <v>7</v>
      </c>
      <c r="D15" s="17">
        <v>4</v>
      </c>
      <c r="E15" s="17">
        <v>4</v>
      </c>
      <c r="F15" s="17">
        <v>3</v>
      </c>
      <c r="G15" s="17">
        <v>3</v>
      </c>
      <c r="H15" s="17">
        <v>2</v>
      </c>
      <c r="I15" s="17">
        <v>3</v>
      </c>
      <c r="J15" s="17" t="s">
        <v>250</v>
      </c>
      <c r="K15" s="17">
        <v>1</v>
      </c>
      <c r="L15" s="17">
        <v>3</v>
      </c>
      <c r="M15" s="17">
        <v>3</v>
      </c>
      <c r="N15" s="17" t="s">
        <v>251</v>
      </c>
      <c r="O15" s="17">
        <v>5</v>
      </c>
      <c r="P15" s="17">
        <v>5</v>
      </c>
      <c r="Q15" s="17">
        <v>3</v>
      </c>
      <c r="R15" s="17">
        <v>3</v>
      </c>
      <c r="S15" s="17">
        <v>4</v>
      </c>
      <c r="T15" s="17">
        <v>1</v>
      </c>
      <c r="U15" s="17">
        <v>3</v>
      </c>
      <c r="V15" s="17">
        <v>3</v>
      </c>
      <c r="W15" s="17" t="s">
        <v>252</v>
      </c>
      <c r="X15" s="17">
        <v>5</v>
      </c>
      <c r="Y15" s="17">
        <v>5</v>
      </c>
      <c r="Z15" s="17">
        <v>4</v>
      </c>
      <c r="AA15" s="17">
        <v>2</v>
      </c>
      <c r="AB15" s="17">
        <v>1</v>
      </c>
      <c r="AC15" s="17">
        <v>2</v>
      </c>
      <c r="AD15" s="17">
        <v>2</v>
      </c>
      <c r="AE15" s="17" t="s">
        <v>253</v>
      </c>
      <c r="AF15" s="18"/>
    </row>
    <row r="16" spans="1:32" x14ac:dyDescent="0.35">
      <c r="A16" s="19" t="s">
        <v>161</v>
      </c>
      <c r="B16" s="19" t="s">
        <v>20</v>
      </c>
      <c r="C16" s="19">
        <v>7</v>
      </c>
      <c r="D16" s="19">
        <v>3</v>
      </c>
      <c r="E16" s="19">
        <v>1</v>
      </c>
      <c r="F16" s="19">
        <v>3</v>
      </c>
      <c r="G16" s="19">
        <v>4</v>
      </c>
      <c r="H16" s="19">
        <v>2</v>
      </c>
      <c r="I16" s="19">
        <v>1</v>
      </c>
      <c r="J16" s="19"/>
      <c r="K16" s="19">
        <v>2</v>
      </c>
      <c r="L16" s="19">
        <v>3</v>
      </c>
      <c r="M16" s="19">
        <v>3</v>
      </c>
      <c r="N16" s="19"/>
      <c r="O16" s="19">
        <v>5</v>
      </c>
      <c r="P16" s="19">
        <v>1</v>
      </c>
      <c r="Q16" s="19">
        <v>3</v>
      </c>
      <c r="R16" s="19">
        <v>4</v>
      </c>
      <c r="S16" s="19">
        <v>2</v>
      </c>
      <c r="T16" s="19">
        <v>1</v>
      </c>
      <c r="U16" s="19">
        <v>3</v>
      </c>
      <c r="V16" s="19">
        <v>3</v>
      </c>
      <c r="W16" s="19"/>
      <c r="X16" s="19">
        <v>2</v>
      </c>
      <c r="Y16" s="19">
        <v>2</v>
      </c>
      <c r="Z16" s="19">
        <v>4</v>
      </c>
      <c r="AA16" s="19">
        <v>2</v>
      </c>
      <c r="AB16" s="19">
        <v>1</v>
      </c>
      <c r="AC16" s="19">
        <v>4</v>
      </c>
      <c r="AD16" s="19">
        <v>2</v>
      </c>
      <c r="AE16" s="19"/>
      <c r="AF16" s="20"/>
    </row>
    <row r="17" spans="1:32" x14ac:dyDescent="0.35">
      <c r="A17" s="17" t="s">
        <v>76</v>
      </c>
      <c r="B17" s="17" t="s">
        <v>77</v>
      </c>
      <c r="C17" s="17">
        <v>7</v>
      </c>
      <c r="D17" s="17">
        <v>4</v>
      </c>
      <c r="E17" s="17">
        <v>5</v>
      </c>
      <c r="F17" s="17">
        <v>4</v>
      </c>
      <c r="G17" s="17">
        <v>3</v>
      </c>
      <c r="H17" s="17">
        <v>2</v>
      </c>
      <c r="I17" s="17">
        <v>2</v>
      </c>
      <c r="J17" s="17"/>
      <c r="K17" s="17">
        <v>1</v>
      </c>
      <c r="L17" s="17">
        <v>1</v>
      </c>
      <c r="M17" s="17">
        <v>2</v>
      </c>
      <c r="N17" s="17"/>
      <c r="O17" s="17">
        <v>5</v>
      </c>
      <c r="P17" s="17">
        <v>5</v>
      </c>
      <c r="Q17" s="17">
        <v>4</v>
      </c>
      <c r="R17" s="17">
        <v>4</v>
      </c>
      <c r="S17" s="17">
        <v>1</v>
      </c>
      <c r="T17" s="17">
        <v>1</v>
      </c>
      <c r="U17" s="17">
        <v>2</v>
      </c>
      <c r="V17" s="17">
        <v>2</v>
      </c>
      <c r="W17" s="17"/>
      <c r="X17" s="17">
        <v>3</v>
      </c>
      <c r="Y17" s="17">
        <v>4</v>
      </c>
      <c r="Z17" s="17">
        <v>4</v>
      </c>
      <c r="AA17" s="17">
        <v>4</v>
      </c>
      <c r="AB17" s="17">
        <v>2</v>
      </c>
      <c r="AC17" s="17">
        <v>3</v>
      </c>
      <c r="AD17" s="17">
        <v>3</v>
      </c>
      <c r="AE17" s="17" t="s">
        <v>254</v>
      </c>
      <c r="AF17" s="18"/>
    </row>
    <row r="18" spans="1:32" x14ac:dyDescent="0.35">
      <c r="A18" s="19" t="s">
        <v>44</v>
      </c>
      <c r="B18" s="19" t="s">
        <v>20</v>
      </c>
      <c r="C18" s="19">
        <v>7</v>
      </c>
      <c r="D18" s="19">
        <v>4</v>
      </c>
      <c r="E18" s="19">
        <v>3</v>
      </c>
      <c r="F18" s="19">
        <v>3</v>
      </c>
      <c r="G18" s="19">
        <v>1</v>
      </c>
      <c r="H18" s="19">
        <v>1</v>
      </c>
      <c r="I18" s="19">
        <v>2</v>
      </c>
      <c r="J18" s="19" t="s">
        <v>255</v>
      </c>
      <c r="K18" s="19">
        <v>1</v>
      </c>
      <c r="L18" s="19">
        <v>1</v>
      </c>
      <c r="M18" s="19">
        <v>1</v>
      </c>
      <c r="N18" s="19"/>
      <c r="O18" s="19">
        <v>3</v>
      </c>
      <c r="P18" s="19">
        <v>2</v>
      </c>
      <c r="Q18" s="19">
        <v>4</v>
      </c>
      <c r="R18" s="19">
        <v>2</v>
      </c>
      <c r="S18" s="19">
        <v>2</v>
      </c>
      <c r="T18" s="19">
        <v>1</v>
      </c>
      <c r="U18" s="19">
        <v>1</v>
      </c>
      <c r="V18" s="19">
        <v>1</v>
      </c>
      <c r="W18" s="19" t="s">
        <v>256</v>
      </c>
      <c r="X18" s="19">
        <v>4</v>
      </c>
      <c r="Y18" s="19">
        <v>4</v>
      </c>
      <c r="Z18" s="19">
        <v>2</v>
      </c>
      <c r="AA18" s="19">
        <v>1</v>
      </c>
      <c r="AB18" s="19">
        <v>3</v>
      </c>
      <c r="AC18" s="19">
        <v>2</v>
      </c>
      <c r="AD18" s="19">
        <v>1</v>
      </c>
      <c r="AE18" s="19"/>
      <c r="AF18" s="20"/>
    </row>
    <row r="19" spans="1:32" x14ac:dyDescent="0.35">
      <c r="A19" s="15" t="s">
        <v>28</v>
      </c>
      <c r="B19" s="15" t="s">
        <v>20</v>
      </c>
      <c r="C19" s="15">
        <v>7</v>
      </c>
      <c r="D19" s="15">
        <v>3</v>
      </c>
      <c r="E19" s="15">
        <v>5</v>
      </c>
      <c r="F19" s="15">
        <v>3</v>
      </c>
      <c r="G19" s="15">
        <v>3</v>
      </c>
      <c r="H19" s="15">
        <v>4</v>
      </c>
      <c r="I19" s="15">
        <v>0</v>
      </c>
      <c r="J19" s="15" t="s">
        <v>257</v>
      </c>
      <c r="K19" s="15">
        <v>1</v>
      </c>
      <c r="L19" s="15">
        <v>1</v>
      </c>
      <c r="M19" s="15">
        <v>1</v>
      </c>
      <c r="N19" s="15"/>
      <c r="O19" s="15">
        <v>5</v>
      </c>
      <c r="P19" s="15">
        <v>5</v>
      </c>
      <c r="Q19" s="15">
        <v>4</v>
      </c>
      <c r="R19" s="15">
        <v>4</v>
      </c>
      <c r="S19" s="15">
        <v>2</v>
      </c>
      <c r="T19" s="15">
        <v>1</v>
      </c>
      <c r="U19" s="15">
        <v>1</v>
      </c>
      <c r="V19" s="15">
        <v>1</v>
      </c>
      <c r="W19" s="15"/>
      <c r="X19" s="15">
        <v>2</v>
      </c>
      <c r="Y19" s="15">
        <v>5</v>
      </c>
      <c r="Z19" s="15">
        <v>5</v>
      </c>
      <c r="AA19" s="15">
        <v>1</v>
      </c>
      <c r="AB19" s="15">
        <v>2</v>
      </c>
      <c r="AC19" s="15">
        <v>2</v>
      </c>
      <c r="AD19" s="15">
        <v>3</v>
      </c>
      <c r="AE19" s="15"/>
      <c r="AF19" s="16"/>
    </row>
    <row r="20" spans="1:32" x14ac:dyDescent="0.35">
      <c r="A20" s="13" t="s">
        <v>42</v>
      </c>
      <c r="B20" s="13" t="s">
        <v>20</v>
      </c>
      <c r="C20" s="13">
        <v>7</v>
      </c>
      <c r="D20" s="13">
        <v>5</v>
      </c>
      <c r="E20" s="13">
        <v>4</v>
      </c>
      <c r="F20" s="13">
        <v>3</v>
      </c>
      <c r="G20" s="13">
        <v>0</v>
      </c>
      <c r="H20" s="13">
        <v>0</v>
      </c>
      <c r="I20" s="13">
        <v>0</v>
      </c>
      <c r="J20" s="13" t="s">
        <v>263</v>
      </c>
      <c r="K20" s="13">
        <v>1</v>
      </c>
      <c r="L20" s="13">
        <v>1</v>
      </c>
      <c r="M20" s="13">
        <v>3</v>
      </c>
      <c r="N20" s="13"/>
      <c r="O20" s="13">
        <v>5</v>
      </c>
      <c r="P20" s="13">
        <v>3</v>
      </c>
      <c r="Q20" s="13">
        <v>5</v>
      </c>
      <c r="R20" s="13">
        <v>4</v>
      </c>
      <c r="S20" s="13">
        <v>1</v>
      </c>
      <c r="T20" s="13">
        <v>1</v>
      </c>
      <c r="U20" s="13">
        <v>1</v>
      </c>
      <c r="V20" s="13">
        <v>3</v>
      </c>
      <c r="W20" s="13"/>
      <c r="X20" s="13">
        <v>4</v>
      </c>
      <c r="Y20" s="13">
        <v>2</v>
      </c>
      <c r="Z20" s="13">
        <v>5</v>
      </c>
      <c r="AA20" s="13">
        <v>4</v>
      </c>
      <c r="AB20" s="13">
        <v>2</v>
      </c>
      <c r="AC20" s="13">
        <v>2</v>
      </c>
      <c r="AD20" s="13">
        <v>2</v>
      </c>
      <c r="AE20" s="13"/>
      <c r="AF20" s="14"/>
    </row>
    <row r="21" spans="1:32" x14ac:dyDescent="0.35">
      <c r="A21" s="17" t="s">
        <v>264</v>
      </c>
      <c r="B21" s="17" t="s">
        <v>17</v>
      </c>
      <c r="C21" s="17">
        <v>7</v>
      </c>
      <c r="D21" s="17">
        <v>4</v>
      </c>
      <c r="E21" s="17">
        <v>0</v>
      </c>
      <c r="F21" s="17">
        <v>0</v>
      </c>
      <c r="G21" s="17">
        <v>3</v>
      </c>
      <c r="H21" s="17">
        <v>2</v>
      </c>
      <c r="I21" s="17">
        <v>0</v>
      </c>
      <c r="J21" s="17" t="s">
        <v>225</v>
      </c>
      <c r="K21" s="17">
        <v>1</v>
      </c>
      <c r="L21" s="17">
        <v>1</v>
      </c>
      <c r="M21" s="17">
        <v>4</v>
      </c>
      <c r="N21" s="17" t="s">
        <v>51</v>
      </c>
      <c r="O21" s="17">
        <v>5</v>
      </c>
      <c r="P21" s="17">
        <v>1</v>
      </c>
      <c r="Q21" s="17">
        <v>1</v>
      </c>
      <c r="R21" s="17">
        <v>4</v>
      </c>
      <c r="S21" s="17">
        <v>3</v>
      </c>
      <c r="T21" s="17">
        <v>1</v>
      </c>
      <c r="U21" s="17">
        <v>1</v>
      </c>
      <c r="V21" s="17">
        <v>4</v>
      </c>
      <c r="W21" s="17" t="s">
        <v>51</v>
      </c>
      <c r="X21" s="17">
        <v>1</v>
      </c>
      <c r="Y21" s="17">
        <v>3</v>
      </c>
      <c r="Z21" s="17">
        <v>3</v>
      </c>
      <c r="AA21" s="17">
        <v>0</v>
      </c>
      <c r="AB21" s="17">
        <v>5</v>
      </c>
      <c r="AC21" s="17">
        <v>5</v>
      </c>
      <c r="AD21" s="17">
        <v>5</v>
      </c>
      <c r="AE21" s="17"/>
      <c r="AF21" s="18"/>
    </row>
    <row r="22" spans="1:32" x14ac:dyDescent="0.35">
      <c r="A22" s="19" t="s">
        <v>63</v>
      </c>
      <c r="B22" s="19" t="s">
        <v>20</v>
      </c>
      <c r="C22" s="19">
        <v>7</v>
      </c>
      <c r="D22" s="19">
        <v>4</v>
      </c>
      <c r="E22" s="19">
        <v>5</v>
      </c>
      <c r="F22" s="19">
        <v>4</v>
      </c>
      <c r="G22" s="19">
        <v>2</v>
      </c>
      <c r="H22" s="19">
        <v>2</v>
      </c>
      <c r="I22" s="19">
        <v>0</v>
      </c>
      <c r="J22" s="19"/>
      <c r="K22" s="19">
        <v>1</v>
      </c>
      <c r="L22" s="19">
        <v>1</v>
      </c>
      <c r="M22" s="19">
        <v>5</v>
      </c>
      <c r="N22" s="19" t="s">
        <v>265</v>
      </c>
      <c r="O22" s="19">
        <v>5</v>
      </c>
      <c r="P22" s="19">
        <v>2</v>
      </c>
      <c r="Q22" s="19">
        <v>4</v>
      </c>
      <c r="R22" s="19">
        <v>1</v>
      </c>
      <c r="S22" s="19">
        <v>1</v>
      </c>
      <c r="T22" s="19">
        <v>1</v>
      </c>
      <c r="U22" s="19">
        <v>1</v>
      </c>
      <c r="V22" s="19">
        <v>4</v>
      </c>
      <c r="W22" s="19" t="s">
        <v>266</v>
      </c>
      <c r="X22" s="19">
        <v>1</v>
      </c>
      <c r="Y22" s="19">
        <v>3</v>
      </c>
      <c r="Z22" s="19">
        <v>3</v>
      </c>
      <c r="AA22" s="19">
        <v>1</v>
      </c>
      <c r="AB22" s="19">
        <v>2</v>
      </c>
      <c r="AC22" s="19">
        <v>1</v>
      </c>
      <c r="AD22" s="19">
        <v>2</v>
      </c>
      <c r="AE22" s="19" t="s">
        <v>267</v>
      </c>
      <c r="AF22" s="20"/>
    </row>
    <row r="23" spans="1:32" x14ac:dyDescent="0.35">
      <c r="A23" s="15" t="s">
        <v>173</v>
      </c>
      <c r="B23" s="15" t="s">
        <v>17</v>
      </c>
      <c r="C23" s="15">
        <v>7</v>
      </c>
      <c r="D23" s="15">
        <v>2</v>
      </c>
      <c r="E23" s="15">
        <v>1</v>
      </c>
      <c r="F23" s="15">
        <v>1</v>
      </c>
      <c r="G23" s="15">
        <v>1</v>
      </c>
      <c r="H23" s="15">
        <v>0</v>
      </c>
      <c r="I23" s="15">
        <v>0</v>
      </c>
      <c r="J23" s="15" t="s">
        <v>268</v>
      </c>
      <c r="K23" s="15">
        <v>1</v>
      </c>
      <c r="L23" s="15">
        <v>1</v>
      </c>
      <c r="M23" s="15">
        <v>2</v>
      </c>
      <c r="N23" s="15"/>
      <c r="O23" s="15">
        <v>3</v>
      </c>
      <c r="P23" s="15">
        <v>2</v>
      </c>
      <c r="Q23" s="15">
        <v>2</v>
      </c>
      <c r="R23" s="15">
        <v>2</v>
      </c>
      <c r="S23" s="15">
        <v>1</v>
      </c>
      <c r="T23" s="15">
        <v>1</v>
      </c>
      <c r="U23" s="15">
        <v>1</v>
      </c>
      <c r="V23" s="15">
        <v>2</v>
      </c>
      <c r="W23" s="15" t="s">
        <v>269</v>
      </c>
      <c r="X23" s="15">
        <v>3</v>
      </c>
      <c r="Y23" s="15">
        <v>1</v>
      </c>
      <c r="Z23" s="15">
        <v>2</v>
      </c>
      <c r="AA23" s="15">
        <v>2</v>
      </c>
      <c r="AB23" s="15">
        <v>4</v>
      </c>
      <c r="AC23" s="15">
        <v>2</v>
      </c>
      <c r="AD23" s="15">
        <v>2</v>
      </c>
      <c r="AE23" s="15" t="s">
        <v>270</v>
      </c>
      <c r="AF23" s="16"/>
    </row>
    <row r="24" spans="1:32" x14ac:dyDescent="0.35">
      <c r="A24" s="13" t="s">
        <v>201</v>
      </c>
      <c r="B24" s="13" t="s">
        <v>20</v>
      </c>
      <c r="C24" s="13">
        <v>7</v>
      </c>
      <c r="D24" s="13">
        <v>3</v>
      </c>
      <c r="E24" s="13">
        <v>0</v>
      </c>
      <c r="F24" s="13">
        <v>2</v>
      </c>
      <c r="G24" s="13">
        <v>3</v>
      </c>
      <c r="H24" s="13">
        <v>2</v>
      </c>
      <c r="I24" s="13">
        <v>1</v>
      </c>
      <c r="J24" s="13"/>
      <c r="K24" s="13">
        <v>2</v>
      </c>
      <c r="L24" s="13">
        <v>2</v>
      </c>
      <c r="M24" s="13">
        <v>1</v>
      </c>
      <c r="N24" s="13"/>
      <c r="O24" s="13">
        <v>4</v>
      </c>
      <c r="P24" s="13">
        <v>1</v>
      </c>
      <c r="Q24" s="13">
        <v>3</v>
      </c>
      <c r="R24" s="13">
        <v>4</v>
      </c>
      <c r="S24" s="13">
        <v>1</v>
      </c>
      <c r="T24" s="13">
        <v>2</v>
      </c>
      <c r="U24" s="13">
        <v>2</v>
      </c>
      <c r="V24" s="13">
        <v>2</v>
      </c>
      <c r="W24" s="13" t="s">
        <v>271</v>
      </c>
      <c r="X24" s="13">
        <v>3</v>
      </c>
      <c r="Y24" s="13">
        <v>3</v>
      </c>
      <c r="Z24" s="13">
        <v>3</v>
      </c>
      <c r="AA24" s="13">
        <v>2</v>
      </c>
      <c r="AB24" s="13">
        <v>3</v>
      </c>
      <c r="AC24" s="13">
        <v>3</v>
      </c>
      <c r="AD24" s="13">
        <v>3</v>
      </c>
      <c r="AE24" s="13"/>
      <c r="AF24" s="14"/>
    </row>
    <row r="25" spans="1:32" x14ac:dyDescent="0.35">
      <c r="A25" s="17" t="s">
        <v>237</v>
      </c>
      <c r="B25" s="17" t="s">
        <v>17</v>
      </c>
      <c r="C25" s="17">
        <v>7</v>
      </c>
      <c r="D25" s="17">
        <v>4.5</v>
      </c>
      <c r="E25" s="17">
        <v>5</v>
      </c>
      <c r="F25" s="17">
        <v>2</v>
      </c>
      <c r="G25" s="17">
        <v>3</v>
      </c>
      <c r="H25" s="17">
        <v>3</v>
      </c>
      <c r="I25" s="17">
        <v>2</v>
      </c>
      <c r="J25" s="17" t="s">
        <v>273</v>
      </c>
      <c r="K25" s="17">
        <v>3</v>
      </c>
      <c r="L25" s="17">
        <v>3</v>
      </c>
      <c r="M25" s="17">
        <v>2</v>
      </c>
      <c r="N25" s="17"/>
      <c r="O25" s="17">
        <v>4</v>
      </c>
      <c r="P25" s="17">
        <v>4</v>
      </c>
      <c r="Q25" s="17">
        <v>2</v>
      </c>
      <c r="R25" s="17">
        <v>3</v>
      </c>
      <c r="S25" s="17">
        <v>1</v>
      </c>
      <c r="T25" s="17">
        <v>4</v>
      </c>
      <c r="U25" s="17">
        <v>2</v>
      </c>
      <c r="V25" s="17">
        <v>1</v>
      </c>
      <c r="W25" s="17" t="s">
        <v>274</v>
      </c>
      <c r="X25" s="17">
        <v>1</v>
      </c>
      <c r="Y25" s="17">
        <v>3</v>
      </c>
      <c r="Z25" s="17">
        <v>5</v>
      </c>
      <c r="AA25" s="17">
        <v>5</v>
      </c>
      <c r="AB25" s="17">
        <v>2</v>
      </c>
      <c r="AC25" s="17">
        <v>2</v>
      </c>
      <c r="AD25" s="17">
        <v>1</v>
      </c>
      <c r="AE25" s="17"/>
      <c r="AF25" s="18"/>
    </row>
    <row r="26" spans="1:32" x14ac:dyDescent="0.35">
      <c r="A26" s="13" t="s">
        <v>159</v>
      </c>
      <c r="B26" s="13" t="s">
        <v>17</v>
      </c>
      <c r="C26" s="13">
        <v>7</v>
      </c>
      <c r="D26" s="13">
        <v>2</v>
      </c>
      <c r="E26" s="13">
        <v>1</v>
      </c>
      <c r="F26" s="13">
        <v>1</v>
      </c>
      <c r="G26" s="13">
        <v>0</v>
      </c>
      <c r="H26" s="13">
        <v>0</v>
      </c>
      <c r="I26" s="13">
        <v>0</v>
      </c>
      <c r="J26" s="13"/>
      <c r="K26" s="13">
        <v>2</v>
      </c>
      <c r="L26" s="13">
        <v>1</v>
      </c>
      <c r="M26" s="13">
        <v>1</v>
      </c>
      <c r="N26" s="13"/>
      <c r="O26" s="13">
        <v>5</v>
      </c>
      <c r="P26" s="13">
        <v>1</v>
      </c>
      <c r="Q26" s="13">
        <v>1</v>
      </c>
      <c r="R26" s="13">
        <v>3</v>
      </c>
      <c r="S26" s="13">
        <v>4</v>
      </c>
      <c r="T26" s="13">
        <v>2</v>
      </c>
      <c r="U26" s="13">
        <v>1</v>
      </c>
      <c r="V26" s="13">
        <v>2</v>
      </c>
      <c r="W26" s="13"/>
      <c r="X26" s="13">
        <v>1</v>
      </c>
      <c r="Y26" s="13">
        <v>3</v>
      </c>
      <c r="Z26" s="13">
        <v>2</v>
      </c>
      <c r="AA26" s="13">
        <v>2</v>
      </c>
      <c r="AB26" s="13">
        <v>1</v>
      </c>
      <c r="AC26" s="13">
        <v>5</v>
      </c>
      <c r="AD26" s="13">
        <v>5</v>
      </c>
      <c r="AE26" s="13"/>
      <c r="AF26" s="14"/>
    </row>
    <row r="27" spans="1:32" x14ac:dyDescent="0.35">
      <c r="A27" s="17" t="s">
        <v>27</v>
      </c>
      <c r="B27" s="17" t="s">
        <v>20</v>
      </c>
      <c r="C27" s="17">
        <v>7</v>
      </c>
      <c r="D27" s="17">
        <v>4</v>
      </c>
      <c r="E27" s="17">
        <v>5</v>
      </c>
      <c r="F27" s="17">
        <v>0</v>
      </c>
      <c r="G27" s="17">
        <v>0</v>
      </c>
      <c r="H27" s="17">
        <v>0</v>
      </c>
      <c r="I27" s="17">
        <v>0</v>
      </c>
      <c r="J27" s="17"/>
      <c r="K27" s="17">
        <v>3</v>
      </c>
      <c r="L27" s="17">
        <v>1</v>
      </c>
      <c r="M27" s="17">
        <v>2</v>
      </c>
      <c r="N27" s="17"/>
      <c r="O27" s="17">
        <v>4</v>
      </c>
      <c r="P27" s="17">
        <v>1</v>
      </c>
      <c r="Q27" s="17">
        <v>1</v>
      </c>
      <c r="R27" s="17">
        <v>5</v>
      </c>
      <c r="S27" s="17">
        <v>1</v>
      </c>
      <c r="T27" s="17">
        <v>1</v>
      </c>
      <c r="U27" s="17">
        <v>1</v>
      </c>
      <c r="V27" s="17">
        <v>1</v>
      </c>
      <c r="W27" s="17" t="s">
        <v>275</v>
      </c>
      <c r="X27" s="17">
        <v>1</v>
      </c>
      <c r="Y27" s="17">
        <v>2</v>
      </c>
      <c r="Z27" s="17">
        <v>2</v>
      </c>
      <c r="AA27" s="17">
        <v>2</v>
      </c>
      <c r="AB27" s="17">
        <v>3</v>
      </c>
      <c r="AC27" s="17">
        <v>4</v>
      </c>
      <c r="AD27" s="17">
        <v>3</v>
      </c>
      <c r="AE27" s="17"/>
      <c r="AF27" s="18" t="s">
        <v>276</v>
      </c>
    </row>
    <row r="28" spans="1:32" x14ac:dyDescent="0.35">
      <c r="A28" s="19" t="s">
        <v>99</v>
      </c>
      <c r="B28" s="19" t="s">
        <v>77</v>
      </c>
      <c r="C28" s="19">
        <v>7</v>
      </c>
      <c r="D28" s="19">
        <v>5</v>
      </c>
      <c r="E28" s="19">
        <v>4</v>
      </c>
      <c r="F28" s="19">
        <v>0</v>
      </c>
      <c r="G28" s="19">
        <v>3</v>
      </c>
      <c r="H28" s="19">
        <v>3</v>
      </c>
      <c r="I28" s="19">
        <v>4</v>
      </c>
      <c r="J28" s="19" t="s">
        <v>277</v>
      </c>
      <c r="K28" s="19">
        <v>1</v>
      </c>
      <c r="L28" s="19">
        <v>1</v>
      </c>
      <c r="M28" s="19">
        <v>1</v>
      </c>
      <c r="N28" s="19" t="s">
        <v>278</v>
      </c>
      <c r="O28" s="19">
        <v>5</v>
      </c>
      <c r="P28" s="19">
        <v>4</v>
      </c>
      <c r="Q28" s="19">
        <v>1</v>
      </c>
      <c r="R28" s="19">
        <v>5</v>
      </c>
      <c r="S28" s="19">
        <v>3</v>
      </c>
      <c r="T28" s="19">
        <v>1</v>
      </c>
      <c r="U28" s="19">
        <v>1</v>
      </c>
      <c r="V28" s="19">
        <v>1</v>
      </c>
      <c r="W28" s="19" t="s">
        <v>279</v>
      </c>
      <c r="X28" s="19">
        <v>1</v>
      </c>
      <c r="Y28" s="19">
        <v>5</v>
      </c>
      <c r="Z28" s="19">
        <v>5</v>
      </c>
      <c r="AA28" s="19">
        <v>5</v>
      </c>
      <c r="AB28" s="19">
        <v>2</v>
      </c>
      <c r="AC28" s="19">
        <v>4</v>
      </c>
      <c r="AD28" s="19">
        <v>4</v>
      </c>
      <c r="AE28" s="19" t="s">
        <v>280</v>
      </c>
      <c r="AF28" s="20"/>
    </row>
    <row r="29" spans="1:32" x14ac:dyDescent="0.35">
      <c r="A29" s="17" t="s">
        <v>215</v>
      </c>
      <c r="B29" s="17" t="s">
        <v>20</v>
      </c>
      <c r="C29" s="17">
        <v>7</v>
      </c>
      <c r="D29" s="17">
        <v>5</v>
      </c>
      <c r="E29" s="17">
        <v>4</v>
      </c>
      <c r="F29" s="17">
        <v>3</v>
      </c>
      <c r="G29" s="17">
        <v>4</v>
      </c>
      <c r="H29" s="17">
        <v>3</v>
      </c>
      <c r="I29" s="17">
        <v>0</v>
      </c>
      <c r="J29" s="17"/>
      <c r="K29" s="17">
        <v>5</v>
      </c>
      <c r="L29" s="17">
        <v>4</v>
      </c>
      <c r="M29" s="17">
        <v>3</v>
      </c>
      <c r="N29" s="17"/>
      <c r="O29" s="17">
        <v>5</v>
      </c>
      <c r="P29" s="17">
        <v>4</v>
      </c>
      <c r="Q29" s="17">
        <v>4</v>
      </c>
      <c r="R29" s="17">
        <v>5</v>
      </c>
      <c r="S29" s="17">
        <v>3</v>
      </c>
      <c r="T29" s="17">
        <v>4</v>
      </c>
      <c r="U29" s="17">
        <v>4</v>
      </c>
      <c r="V29" s="17">
        <v>5</v>
      </c>
      <c r="W29" s="17"/>
      <c r="X29" s="17">
        <v>5</v>
      </c>
      <c r="Y29" s="17">
        <v>5</v>
      </c>
      <c r="Z29" s="17">
        <v>5</v>
      </c>
      <c r="AA29" s="17">
        <v>5</v>
      </c>
      <c r="AB29" s="17">
        <v>4</v>
      </c>
      <c r="AC29" s="17">
        <v>5</v>
      </c>
      <c r="AD29" s="17">
        <v>5</v>
      </c>
      <c r="AE29" s="17"/>
      <c r="AF29" s="18"/>
    </row>
    <row r="30" spans="1:32" x14ac:dyDescent="0.35">
      <c r="A30" s="19" t="s">
        <v>127</v>
      </c>
      <c r="B30" s="19" t="s">
        <v>20</v>
      </c>
      <c r="C30" s="19">
        <v>7</v>
      </c>
      <c r="D30" s="19">
        <v>1</v>
      </c>
      <c r="E30" s="19">
        <v>1</v>
      </c>
      <c r="F30" s="19">
        <v>1</v>
      </c>
      <c r="G30" s="19">
        <v>1</v>
      </c>
      <c r="H30" s="19">
        <v>1</v>
      </c>
      <c r="I30" s="19">
        <v>1</v>
      </c>
      <c r="J30" s="19" t="s">
        <v>281</v>
      </c>
      <c r="K30" s="19">
        <v>1</v>
      </c>
      <c r="L30" s="19">
        <v>1</v>
      </c>
      <c r="M30" s="19">
        <v>1</v>
      </c>
      <c r="N30" s="19" t="s">
        <v>282</v>
      </c>
      <c r="O30" s="19">
        <v>1</v>
      </c>
      <c r="P30" s="19">
        <v>1</v>
      </c>
      <c r="Q30" s="19">
        <v>1</v>
      </c>
      <c r="R30" s="19">
        <v>1</v>
      </c>
      <c r="S30" s="19">
        <v>1</v>
      </c>
      <c r="T30" s="19">
        <v>1</v>
      </c>
      <c r="U30" s="19">
        <v>1</v>
      </c>
      <c r="V30" s="19">
        <v>1</v>
      </c>
      <c r="W30" s="19" t="s">
        <v>283</v>
      </c>
      <c r="X30" s="19">
        <v>1</v>
      </c>
      <c r="Y30" s="19">
        <v>5</v>
      </c>
      <c r="Z30" s="19">
        <v>1</v>
      </c>
      <c r="AA30" s="19">
        <v>1</v>
      </c>
      <c r="AB30" s="19">
        <v>1</v>
      </c>
      <c r="AC30" s="19">
        <v>1</v>
      </c>
      <c r="AD30" s="19">
        <v>1</v>
      </c>
      <c r="AE30" s="19" t="s">
        <v>284</v>
      </c>
      <c r="AF30" s="20" t="s">
        <v>285</v>
      </c>
    </row>
    <row r="31" spans="1:32" x14ac:dyDescent="0.35">
      <c r="A31" s="33" t="s">
        <v>143</v>
      </c>
      <c r="B31" s="33" t="s">
        <v>77</v>
      </c>
      <c r="C31" s="33">
        <v>7</v>
      </c>
      <c r="D31" s="33">
        <v>5</v>
      </c>
      <c r="E31" s="33">
        <v>1</v>
      </c>
      <c r="F31" s="33">
        <v>4</v>
      </c>
      <c r="G31" s="33">
        <v>3</v>
      </c>
      <c r="H31" s="33">
        <v>0</v>
      </c>
      <c r="I31" s="33">
        <v>0</v>
      </c>
      <c r="J31" s="33"/>
      <c r="K31" s="33">
        <v>1</v>
      </c>
      <c r="L31" s="33">
        <v>1</v>
      </c>
      <c r="M31" s="33">
        <v>3</v>
      </c>
      <c r="N31" s="33"/>
      <c r="O31" s="33">
        <v>5</v>
      </c>
      <c r="P31" s="33">
        <v>1</v>
      </c>
      <c r="Q31" s="33">
        <v>3</v>
      </c>
      <c r="R31" s="33">
        <v>3</v>
      </c>
      <c r="S31" s="33">
        <v>1</v>
      </c>
      <c r="T31" s="33">
        <v>1</v>
      </c>
      <c r="U31" s="33">
        <v>2</v>
      </c>
      <c r="V31" s="33">
        <v>3</v>
      </c>
      <c r="W31" s="33"/>
      <c r="X31" s="33">
        <v>3</v>
      </c>
      <c r="Y31" s="33">
        <v>4.5</v>
      </c>
      <c r="Z31" s="33">
        <v>5</v>
      </c>
      <c r="AA31" s="33">
        <v>3</v>
      </c>
      <c r="AB31" s="33">
        <v>5</v>
      </c>
      <c r="AC31" s="33">
        <v>2</v>
      </c>
      <c r="AD31" s="33">
        <v>2</v>
      </c>
      <c r="AE31" s="33" t="s">
        <v>286</v>
      </c>
      <c r="AF31" s="34"/>
    </row>
    <row r="32" spans="1:32" x14ac:dyDescent="0.35">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4"/>
    </row>
    <row r="33" spans="1:32" s="29" customFormat="1" ht="13.15" x14ac:dyDescent="0.4">
      <c r="A33" s="28" t="s">
        <v>295</v>
      </c>
      <c r="D33" s="30">
        <f>AVERAGE(D2:D32)</f>
        <v>3.5166666666666666</v>
      </c>
      <c r="E33" s="30">
        <f t="shared" ref="E33:AD33" si="0">AVERAGE(E2:E32)</f>
        <v>2.8333333333333335</v>
      </c>
      <c r="F33" s="30">
        <f t="shared" si="0"/>
        <v>2.0666666666666669</v>
      </c>
      <c r="G33" s="30">
        <f t="shared" si="0"/>
        <v>2.2333333333333334</v>
      </c>
      <c r="H33" s="30">
        <f t="shared" si="0"/>
        <v>1.3833333333333333</v>
      </c>
      <c r="I33" s="30">
        <f t="shared" si="0"/>
        <v>0.83333333333333337</v>
      </c>
      <c r="J33" s="30"/>
      <c r="K33" s="30">
        <f t="shared" si="0"/>
        <v>1.8333333333333333</v>
      </c>
      <c r="L33" s="30">
        <f t="shared" si="0"/>
        <v>1.9333333333333333</v>
      </c>
      <c r="M33" s="30">
        <f t="shared" si="0"/>
        <v>2.6666666666666665</v>
      </c>
      <c r="N33" s="30"/>
      <c r="O33" s="30">
        <f t="shared" si="0"/>
        <v>4.2333333333333334</v>
      </c>
      <c r="P33" s="30">
        <f t="shared" si="0"/>
        <v>2.8666666666666667</v>
      </c>
      <c r="Q33" s="30">
        <f t="shared" si="0"/>
        <v>2.8666666666666667</v>
      </c>
      <c r="R33" s="30">
        <f t="shared" si="0"/>
        <v>3.0666666666666669</v>
      </c>
      <c r="S33" s="30">
        <f t="shared" si="0"/>
        <v>1.9</v>
      </c>
      <c r="T33" s="30">
        <f t="shared" si="0"/>
        <v>1.7666666666666666</v>
      </c>
      <c r="U33" s="30">
        <f t="shared" si="0"/>
        <v>1.8333333333333333</v>
      </c>
      <c r="V33" s="30">
        <f t="shared" si="0"/>
        <v>2.5333333333333332</v>
      </c>
      <c r="W33" s="30"/>
      <c r="X33" s="30">
        <f t="shared" si="0"/>
        <v>2.5333333333333332</v>
      </c>
      <c r="Y33" s="30">
        <f t="shared" si="0"/>
        <v>3.55</v>
      </c>
      <c r="Z33" s="30">
        <f t="shared" si="0"/>
        <v>3.4666666666666668</v>
      </c>
      <c r="AA33" s="30">
        <f t="shared" si="0"/>
        <v>2.6166666666666667</v>
      </c>
      <c r="AB33" s="30">
        <f t="shared" si="0"/>
        <v>2.6</v>
      </c>
      <c r="AC33" s="30">
        <f t="shared" si="0"/>
        <v>2.8</v>
      </c>
      <c r="AD33" s="30">
        <f t="shared" si="0"/>
        <v>2.7</v>
      </c>
    </row>
    <row r="35" spans="1:32" ht="13.15" x14ac:dyDescent="0.35">
      <c r="A35" s="24" t="s">
        <v>77</v>
      </c>
    </row>
    <row r="36" spans="1:32" ht="51" x14ac:dyDescent="0.35">
      <c r="A36" s="10" t="s">
        <v>1</v>
      </c>
      <c r="B36" s="10" t="s">
        <v>2</v>
      </c>
      <c r="C36" s="10" t="s">
        <v>3</v>
      </c>
      <c r="D36" s="21" t="s">
        <v>287</v>
      </c>
      <c r="E36" s="21" t="s">
        <v>292</v>
      </c>
      <c r="F36" s="21" t="s">
        <v>293</v>
      </c>
      <c r="G36" s="21" t="s">
        <v>47</v>
      </c>
      <c r="H36" s="22" t="s">
        <v>288</v>
      </c>
      <c r="I36" s="22" t="s">
        <v>289</v>
      </c>
      <c r="J36" s="10" t="s">
        <v>4</v>
      </c>
      <c r="K36" s="22" t="s">
        <v>37</v>
      </c>
      <c r="L36" s="22" t="s">
        <v>290</v>
      </c>
      <c r="M36" s="22" t="s">
        <v>291</v>
      </c>
      <c r="N36" s="10" t="s">
        <v>5</v>
      </c>
      <c r="O36" s="21" t="s">
        <v>294</v>
      </c>
      <c r="P36" s="21" t="s">
        <v>292</v>
      </c>
      <c r="Q36" s="21" t="s">
        <v>293</v>
      </c>
      <c r="R36" s="21" t="s">
        <v>47</v>
      </c>
      <c r="S36" s="22" t="s">
        <v>288</v>
      </c>
      <c r="T36" s="22" t="s">
        <v>37</v>
      </c>
      <c r="U36" s="22" t="s">
        <v>290</v>
      </c>
      <c r="V36" s="22" t="s">
        <v>291</v>
      </c>
      <c r="W36" s="10" t="s">
        <v>6</v>
      </c>
      <c r="X36" s="11" t="s">
        <v>7</v>
      </c>
      <c r="Y36" s="10" t="s">
        <v>8</v>
      </c>
      <c r="Z36" s="10" t="s">
        <v>9</v>
      </c>
      <c r="AA36" s="10" t="s">
        <v>10</v>
      </c>
      <c r="AB36" s="10" t="s">
        <v>11</v>
      </c>
      <c r="AC36" s="10" t="s">
        <v>12</v>
      </c>
      <c r="AD36" s="10" t="s">
        <v>13</v>
      </c>
      <c r="AE36" s="11" t="s">
        <v>14</v>
      </c>
      <c r="AF36" s="12" t="s">
        <v>15</v>
      </c>
    </row>
    <row r="37" spans="1:32" x14ac:dyDescent="0.35">
      <c r="A37" s="17" t="s">
        <v>76</v>
      </c>
      <c r="B37" s="17" t="s">
        <v>77</v>
      </c>
      <c r="C37" s="17">
        <v>7</v>
      </c>
      <c r="D37" s="17">
        <v>4</v>
      </c>
      <c r="E37" s="17">
        <v>5</v>
      </c>
      <c r="F37" s="17">
        <v>4</v>
      </c>
      <c r="G37" s="17">
        <v>3</v>
      </c>
      <c r="H37" s="17">
        <v>2</v>
      </c>
      <c r="I37" s="17">
        <v>2</v>
      </c>
      <c r="J37" s="17"/>
      <c r="K37" s="17">
        <v>1</v>
      </c>
      <c r="L37" s="17">
        <v>1</v>
      </c>
      <c r="M37" s="17">
        <v>2</v>
      </c>
      <c r="N37" s="17"/>
      <c r="O37" s="17">
        <v>5</v>
      </c>
      <c r="P37" s="17">
        <v>5</v>
      </c>
      <c r="Q37" s="17">
        <v>4</v>
      </c>
      <c r="R37" s="17">
        <v>4</v>
      </c>
      <c r="S37" s="17">
        <v>1</v>
      </c>
      <c r="T37" s="17">
        <v>1</v>
      </c>
      <c r="U37" s="17">
        <v>2</v>
      </c>
      <c r="V37" s="17">
        <v>2</v>
      </c>
      <c r="W37" s="17"/>
      <c r="X37" s="17">
        <v>3</v>
      </c>
      <c r="Y37" s="17">
        <v>4</v>
      </c>
      <c r="Z37" s="17">
        <v>4</v>
      </c>
      <c r="AA37" s="17">
        <v>4</v>
      </c>
      <c r="AB37" s="17">
        <v>2</v>
      </c>
      <c r="AC37" s="17">
        <v>3</v>
      </c>
      <c r="AD37" s="17">
        <v>3</v>
      </c>
      <c r="AE37" s="17" t="s">
        <v>254</v>
      </c>
      <c r="AF37" s="18"/>
    </row>
    <row r="38" spans="1:32" x14ac:dyDescent="0.35">
      <c r="A38" s="19" t="s">
        <v>99</v>
      </c>
      <c r="B38" s="19" t="s">
        <v>77</v>
      </c>
      <c r="C38" s="19">
        <v>7</v>
      </c>
      <c r="D38" s="19">
        <v>5</v>
      </c>
      <c r="E38" s="19">
        <v>4</v>
      </c>
      <c r="F38" s="19">
        <v>0</v>
      </c>
      <c r="G38" s="19">
        <v>3</v>
      </c>
      <c r="H38" s="19">
        <v>3</v>
      </c>
      <c r="I38" s="19">
        <v>4</v>
      </c>
      <c r="J38" s="19" t="s">
        <v>277</v>
      </c>
      <c r="K38" s="19">
        <v>1</v>
      </c>
      <c r="L38" s="19">
        <v>1</v>
      </c>
      <c r="M38" s="19">
        <v>1</v>
      </c>
      <c r="N38" s="19" t="s">
        <v>278</v>
      </c>
      <c r="O38" s="19">
        <v>5</v>
      </c>
      <c r="P38" s="19">
        <v>4</v>
      </c>
      <c r="Q38" s="19">
        <v>1</v>
      </c>
      <c r="R38" s="19">
        <v>5</v>
      </c>
      <c r="S38" s="19">
        <v>3</v>
      </c>
      <c r="T38" s="19">
        <v>1</v>
      </c>
      <c r="U38" s="19">
        <v>1</v>
      </c>
      <c r="V38" s="19">
        <v>1</v>
      </c>
      <c r="W38" s="19" t="s">
        <v>279</v>
      </c>
      <c r="X38" s="19">
        <v>1</v>
      </c>
      <c r="Y38" s="19">
        <v>5</v>
      </c>
      <c r="Z38" s="19">
        <v>5</v>
      </c>
      <c r="AA38" s="19">
        <v>5</v>
      </c>
      <c r="AB38" s="19">
        <v>2</v>
      </c>
      <c r="AC38" s="19">
        <v>4</v>
      </c>
      <c r="AD38" s="19">
        <v>4</v>
      </c>
      <c r="AE38" s="19" t="s">
        <v>280</v>
      </c>
      <c r="AF38" s="20"/>
    </row>
    <row r="39" spans="1:32" x14ac:dyDescent="0.35">
      <c r="A39" s="33" t="s">
        <v>143</v>
      </c>
      <c r="B39" s="33" t="s">
        <v>77</v>
      </c>
      <c r="C39" s="33">
        <v>7</v>
      </c>
      <c r="D39" s="33">
        <v>5</v>
      </c>
      <c r="E39" s="33">
        <v>1</v>
      </c>
      <c r="F39" s="33">
        <v>4</v>
      </c>
      <c r="G39" s="33">
        <v>3</v>
      </c>
      <c r="H39" s="33">
        <v>0</v>
      </c>
      <c r="I39" s="33">
        <v>0</v>
      </c>
      <c r="J39" s="33"/>
      <c r="K39" s="33">
        <v>1</v>
      </c>
      <c r="L39" s="33">
        <v>1</v>
      </c>
      <c r="M39" s="33">
        <v>3</v>
      </c>
      <c r="N39" s="33"/>
      <c r="O39" s="33">
        <v>5</v>
      </c>
      <c r="P39" s="33">
        <v>1</v>
      </c>
      <c r="Q39" s="33">
        <v>3</v>
      </c>
      <c r="R39" s="33">
        <v>3</v>
      </c>
      <c r="S39" s="33">
        <v>1</v>
      </c>
      <c r="T39" s="33">
        <v>1</v>
      </c>
      <c r="U39" s="33">
        <v>2</v>
      </c>
      <c r="V39" s="33">
        <v>3</v>
      </c>
      <c r="W39" s="33"/>
      <c r="X39" s="33">
        <v>3</v>
      </c>
      <c r="Y39" s="33">
        <v>4.5</v>
      </c>
      <c r="Z39" s="33">
        <v>5</v>
      </c>
      <c r="AA39" s="33">
        <v>3</v>
      </c>
      <c r="AB39" s="33">
        <v>5</v>
      </c>
      <c r="AC39" s="33">
        <v>2</v>
      </c>
      <c r="AD39" s="33">
        <v>2</v>
      </c>
      <c r="AE39" s="33" t="s">
        <v>286</v>
      </c>
      <c r="AF39" s="34"/>
    </row>
    <row r="40" spans="1:32" x14ac:dyDescent="0.35">
      <c r="A40" s="15" t="s">
        <v>173</v>
      </c>
      <c r="B40" s="15" t="s">
        <v>17</v>
      </c>
      <c r="C40" s="15">
        <v>7</v>
      </c>
      <c r="D40" s="15">
        <v>2</v>
      </c>
      <c r="E40" s="15">
        <v>1</v>
      </c>
      <c r="F40" s="15">
        <v>1</v>
      </c>
      <c r="G40" s="15">
        <v>1</v>
      </c>
      <c r="H40" s="15">
        <v>0</v>
      </c>
      <c r="I40" s="15">
        <v>0</v>
      </c>
      <c r="J40" s="15" t="s">
        <v>268</v>
      </c>
      <c r="K40" s="15">
        <v>1</v>
      </c>
      <c r="L40" s="15">
        <v>1</v>
      </c>
      <c r="M40" s="15">
        <v>2</v>
      </c>
      <c r="N40" s="15"/>
      <c r="O40" s="15">
        <v>3</v>
      </c>
      <c r="P40" s="15">
        <v>2</v>
      </c>
      <c r="Q40" s="15">
        <v>2</v>
      </c>
      <c r="R40" s="15">
        <v>2</v>
      </c>
      <c r="S40" s="15">
        <v>1</v>
      </c>
      <c r="T40" s="15">
        <v>1</v>
      </c>
      <c r="U40" s="15">
        <v>1</v>
      </c>
      <c r="V40" s="15">
        <v>2</v>
      </c>
      <c r="W40" s="15" t="s">
        <v>269</v>
      </c>
      <c r="X40" s="15">
        <v>3</v>
      </c>
      <c r="Y40" s="15">
        <v>1</v>
      </c>
      <c r="Z40" s="15">
        <v>2</v>
      </c>
      <c r="AA40" s="15">
        <v>2</v>
      </c>
      <c r="AB40" s="15">
        <v>4</v>
      </c>
      <c r="AC40" s="15">
        <v>2</v>
      </c>
      <c r="AD40" s="15">
        <v>2</v>
      </c>
      <c r="AE40" s="15" t="s">
        <v>270</v>
      </c>
      <c r="AF40" s="16"/>
    </row>
    <row r="41" spans="1:32" s="29" customFormat="1" ht="13.15" x14ac:dyDescent="0.4">
      <c r="A41" s="31" t="s">
        <v>295</v>
      </c>
      <c r="D41" s="30">
        <f>AVERAGE(D37:D40)</f>
        <v>4</v>
      </c>
      <c r="E41" s="30">
        <f t="shared" ref="E41:AD41" si="1">AVERAGE(E37:E40)</f>
        <v>2.75</v>
      </c>
      <c r="F41" s="30">
        <f t="shared" si="1"/>
        <v>2.25</v>
      </c>
      <c r="G41" s="30">
        <f t="shared" si="1"/>
        <v>2.5</v>
      </c>
      <c r="H41" s="30">
        <f t="shared" si="1"/>
        <v>1.25</v>
      </c>
      <c r="I41" s="30">
        <f t="shared" si="1"/>
        <v>1.5</v>
      </c>
      <c r="J41" s="30"/>
      <c r="K41" s="30">
        <f t="shared" si="1"/>
        <v>1</v>
      </c>
      <c r="L41" s="30">
        <f t="shared" si="1"/>
        <v>1</v>
      </c>
      <c r="M41" s="30">
        <f t="shared" si="1"/>
        <v>2</v>
      </c>
      <c r="N41" s="30"/>
      <c r="O41" s="30">
        <f t="shared" si="1"/>
        <v>4.5</v>
      </c>
      <c r="P41" s="30">
        <f t="shared" si="1"/>
        <v>3</v>
      </c>
      <c r="Q41" s="30">
        <f t="shared" si="1"/>
        <v>2.5</v>
      </c>
      <c r="R41" s="30">
        <f t="shared" si="1"/>
        <v>3.5</v>
      </c>
      <c r="S41" s="30">
        <f t="shared" si="1"/>
        <v>1.5</v>
      </c>
      <c r="T41" s="30">
        <f t="shared" si="1"/>
        <v>1</v>
      </c>
      <c r="U41" s="30">
        <f t="shared" si="1"/>
        <v>1.5</v>
      </c>
      <c r="V41" s="30">
        <f t="shared" si="1"/>
        <v>2</v>
      </c>
      <c r="W41" s="30"/>
      <c r="X41" s="30">
        <f t="shared" si="1"/>
        <v>2.5</v>
      </c>
      <c r="Y41" s="30">
        <f t="shared" si="1"/>
        <v>3.625</v>
      </c>
      <c r="Z41" s="30">
        <f t="shared" si="1"/>
        <v>4</v>
      </c>
      <c r="AA41" s="30">
        <f t="shared" si="1"/>
        <v>3.5</v>
      </c>
      <c r="AB41" s="30">
        <f t="shared" si="1"/>
        <v>3.25</v>
      </c>
      <c r="AC41" s="30">
        <f t="shared" si="1"/>
        <v>2.75</v>
      </c>
      <c r="AD41" s="30">
        <f t="shared" si="1"/>
        <v>2.75</v>
      </c>
    </row>
    <row r="43" spans="1:32" ht="13.15" x14ac:dyDescent="0.35">
      <c r="A43" s="25" t="s">
        <v>17</v>
      </c>
    </row>
    <row r="44" spans="1:32" ht="51" x14ac:dyDescent="0.35">
      <c r="A44" s="10" t="s">
        <v>1</v>
      </c>
      <c r="B44" s="10" t="s">
        <v>2</v>
      </c>
      <c r="C44" s="10" t="s">
        <v>3</v>
      </c>
      <c r="D44" s="21" t="s">
        <v>287</v>
      </c>
      <c r="E44" s="21" t="s">
        <v>292</v>
      </c>
      <c r="F44" s="21" t="s">
        <v>293</v>
      </c>
      <c r="G44" s="21" t="s">
        <v>47</v>
      </c>
      <c r="H44" s="22" t="s">
        <v>288</v>
      </c>
      <c r="I44" s="22" t="s">
        <v>289</v>
      </c>
      <c r="J44" s="10" t="s">
        <v>4</v>
      </c>
      <c r="K44" s="22" t="s">
        <v>37</v>
      </c>
      <c r="L44" s="22" t="s">
        <v>290</v>
      </c>
      <c r="M44" s="22" t="s">
        <v>291</v>
      </c>
      <c r="N44" s="10" t="s">
        <v>5</v>
      </c>
      <c r="O44" s="21" t="s">
        <v>294</v>
      </c>
      <c r="P44" s="21" t="s">
        <v>292</v>
      </c>
      <c r="Q44" s="21" t="s">
        <v>293</v>
      </c>
      <c r="R44" s="21" t="s">
        <v>47</v>
      </c>
      <c r="S44" s="22" t="s">
        <v>288</v>
      </c>
      <c r="T44" s="22" t="s">
        <v>37</v>
      </c>
      <c r="U44" s="22" t="s">
        <v>290</v>
      </c>
      <c r="V44" s="22" t="s">
        <v>291</v>
      </c>
      <c r="W44" s="10" t="s">
        <v>6</v>
      </c>
      <c r="X44" s="11" t="s">
        <v>7</v>
      </c>
      <c r="Y44" s="10" t="s">
        <v>8</v>
      </c>
      <c r="Z44" s="10" t="s">
        <v>9</v>
      </c>
      <c r="AA44" s="10" t="s">
        <v>10</v>
      </c>
      <c r="AB44" s="10" t="s">
        <v>11</v>
      </c>
      <c r="AC44" s="10" t="s">
        <v>12</v>
      </c>
      <c r="AD44" s="10" t="s">
        <v>13</v>
      </c>
      <c r="AE44" s="11" t="s">
        <v>14</v>
      </c>
      <c r="AF44" s="12" t="s">
        <v>15</v>
      </c>
    </row>
    <row r="45" spans="1:32" x14ac:dyDescent="0.35">
      <c r="A45" s="15" t="s">
        <v>16</v>
      </c>
      <c r="B45" s="15" t="s">
        <v>17</v>
      </c>
      <c r="C45" s="15">
        <v>7</v>
      </c>
      <c r="D45" s="15">
        <v>2</v>
      </c>
      <c r="E45" s="15">
        <v>4</v>
      </c>
      <c r="F45" s="15">
        <v>1</v>
      </c>
      <c r="G45" s="15">
        <v>1</v>
      </c>
      <c r="H45" s="15">
        <v>2</v>
      </c>
      <c r="I45" s="15">
        <v>0</v>
      </c>
      <c r="J45" s="15"/>
      <c r="K45" s="15">
        <v>1</v>
      </c>
      <c r="L45" s="15">
        <v>2</v>
      </c>
      <c r="M45" s="15">
        <v>5</v>
      </c>
      <c r="N45" s="15" t="s">
        <v>206</v>
      </c>
      <c r="O45" s="15">
        <v>3</v>
      </c>
      <c r="P45" s="15">
        <v>5</v>
      </c>
      <c r="Q45" s="15">
        <v>3</v>
      </c>
      <c r="R45" s="15">
        <v>1</v>
      </c>
      <c r="S45" s="15">
        <v>1</v>
      </c>
      <c r="T45" s="15">
        <v>2</v>
      </c>
      <c r="U45" s="15">
        <v>3</v>
      </c>
      <c r="V45" s="15">
        <v>4</v>
      </c>
      <c r="W45" s="15"/>
      <c r="X45" s="15">
        <v>3</v>
      </c>
      <c r="Y45" s="15">
        <v>4</v>
      </c>
      <c r="Z45" s="15">
        <v>5</v>
      </c>
      <c r="AA45" s="15">
        <v>3</v>
      </c>
      <c r="AB45" s="15">
        <v>2</v>
      </c>
      <c r="AC45" s="15">
        <v>2</v>
      </c>
      <c r="AD45" s="15">
        <v>1</v>
      </c>
      <c r="AE45" s="15"/>
      <c r="AF45" s="16"/>
    </row>
    <row r="46" spans="1:32" x14ac:dyDescent="0.35">
      <c r="A46" s="19" t="s">
        <v>45</v>
      </c>
      <c r="B46" s="19" t="s">
        <v>17</v>
      </c>
      <c r="C46" s="19">
        <v>7</v>
      </c>
      <c r="D46" s="19">
        <v>4</v>
      </c>
      <c r="E46" s="19">
        <v>0</v>
      </c>
      <c r="F46" s="19">
        <v>2</v>
      </c>
      <c r="G46" s="19">
        <v>3</v>
      </c>
      <c r="H46" s="19">
        <v>0</v>
      </c>
      <c r="I46" s="19">
        <v>2</v>
      </c>
      <c r="J46" s="19" t="s">
        <v>218</v>
      </c>
      <c r="K46" s="19">
        <v>3</v>
      </c>
      <c r="L46" s="19">
        <v>3</v>
      </c>
      <c r="M46" s="19">
        <v>2</v>
      </c>
      <c r="N46" s="19" t="s">
        <v>164</v>
      </c>
      <c r="O46" s="19">
        <v>4</v>
      </c>
      <c r="P46" s="19">
        <v>1</v>
      </c>
      <c r="Q46" s="19">
        <v>3</v>
      </c>
      <c r="R46" s="19">
        <v>4</v>
      </c>
      <c r="S46" s="19">
        <v>1</v>
      </c>
      <c r="T46" s="19">
        <v>3</v>
      </c>
      <c r="U46" s="19">
        <v>2</v>
      </c>
      <c r="V46" s="19">
        <v>2</v>
      </c>
      <c r="W46" s="19" t="s">
        <v>219</v>
      </c>
      <c r="X46" s="19">
        <v>3</v>
      </c>
      <c r="Y46" s="19">
        <v>3</v>
      </c>
      <c r="Z46" s="19">
        <v>4</v>
      </c>
      <c r="AA46" s="19">
        <v>2</v>
      </c>
      <c r="AB46" s="19">
        <v>2</v>
      </c>
      <c r="AC46" s="19">
        <v>2</v>
      </c>
      <c r="AD46" s="19">
        <v>2</v>
      </c>
      <c r="AE46" s="19" t="s">
        <v>220</v>
      </c>
      <c r="AF46" s="20"/>
    </row>
    <row r="47" spans="1:32" x14ac:dyDescent="0.35">
      <c r="A47" s="13" t="s">
        <v>115</v>
      </c>
      <c r="B47" s="13" t="s">
        <v>17</v>
      </c>
      <c r="C47" s="13">
        <v>7</v>
      </c>
      <c r="D47" s="13">
        <v>4</v>
      </c>
      <c r="E47" s="13">
        <v>3</v>
      </c>
      <c r="F47" s="13">
        <v>1</v>
      </c>
      <c r="G47" s="13">
        <v>2</v>
      </c>
      <c r="H47" s="13">
        <v>3</v>
      </c>
      <c r="I47" s="13">
        <v>0</v>
      </c>
      <c r="J47" s="13"/>
      <c r="K47" s="13">
        <v>3</v>
      </c>
      <c r="L47" s="13">
        <v>5</v>
      </c>
      <c r="M47" s="13">
        <v>4</v>
      </c>
      <c r="N47" s="13"/>
      <c r="O47" s="13">
        <v>5</v>
      </c>
      <c r="P47" s="13">
        <v>5</v>
      </c>
      <c r="Q47" s="13">
        <v>1</v>
      </c>
      <c r="R47" s="13">
        <v>1</v>
      </c>
      <c r="S47" s="13">
        <v>2</v>
      </c>
      <c r="T47" s="13">
        <v>5</v>
      </c>
      <c r="U47" s="13">
        <v>3</v>
      </c>
      <c r="V47" s="13">
        <v>2</v>
      </c>
      <c r="W47" s="13"/>
      <c r="X47" s="13">
        <v>2</v>
      </c>
      <c r="Y47" s="13">
        <v>5</v>
      </c>
      <c r="Z47" s="13">
        <v>1</v>
      </c>
      <c r="AA47" s="13">
        <v>4</v>
      </c>
      <c r="AB47" s="13">
        <v>1</v>
      </c>
      <c r="AC47" s="13">
        <v>1</v>
      </c>
      <c r="AD47" s="13">
        <v>1</v>
      </c>
      <c r="AE47" s="13"/>
      <c r="AF47" s="14"/>
    </row>
    <row r="48" spans="1:32" x14ac:dyDescent="0.35">
      <c r="A48" s="19" t="s">
        <v>75</v>
      </c>
      <c r="B48" s="19" t="s">
        <v>17</v>
      </c>
      <c r="C48" s="19">
        <v>7</v>
      </c>
      <c r="D48" s="19">
        <v>4</v>
      </c>
      <c r="E48" s="19">
        <v>3</v>
      </c>
      <c r="F48" s="19">
        <v>1</v>
      </c>
      <c r="G48" s="19">
        <v>2</v>
      </c>
      <c r="H48" s="19">
        <v>2</v>
      </c>
      <c r="I48" s="19">
        <v>3</v>
      </c>
      <c r="J48" s="19" t="s">
        <v>37</v>
      </c>
      <c r="K48" s="19">
        <v>3</v>
      </c>
      <c r="L48" s="19">
        <v>2</v>
      </c>
      <c r="M48" s="19">
        <v>4</v>
      </c>
      <c r="N48" s="19"/>
      <c r="O48" s="19">
        <v>5</v>
      </c>
      <c r="P48" s="19">
        <v>4</v>
      </c>
      <c r="Q48" s="19">
        <v>2</v>
      </c>
      <c r="R48" s="19">
        <v>3</v>
      </c>
      <c r="S48" s="19">
        <v>2</v>
      </c>
      <c r="T48" s="19">
        <v>3</v>
      </c>
      <c r="U48" s="19">
        <v>2</v>
      </c>
      <c r="V48" s="19">
        <v>4</v>
      </c>
      <c r="W48" s="19"/>
      <c r="X48" s="19">
        <v>4</v>
      </c>
      <c r="Y48" s="19">
        <v>3</v>
      </c>
      <c r="Z48" s="19">
        <v>3</v>
      </c>
      <c r="AA48" s="19">
        <v>3</v>
      </c>
      <c r="AB48" s="19">
        <v>4</v>
      </c>
      <c r="AC48" s="19">
        <v>4</v>
      </c>
      <c r="AD48" s="19">
        <v>5</v>
      </c>
      <c r="AE48" s="19">
        <v>7</v>
      </c>
      <c r="AF48" s="20" t="s">
        <v>247</v>
      </c>
    </row>
    <row r="49" spans="1:32" x14ac:dyDescent="0.35">
      <c r="A49" s="17" t="s">
        <v>264</v>
      </c>
      <c r="B49" s="17" t="s">
        <v>17</v>
      </c>
      <c r="C49" s="17">
        <v>7</v>
      </c>
      <c r="D49" s="17">
        <v>4</v>
      </c>
      <c r="E49" s="17">
        <v>0</v>
      </c>
      <c r="F49" s="17">
        <v>0</v>
      </c>
      <c r="G49" s="17">
        <v>3</v>
      </c>
      <c r="H49" s="17">
        <v>2</v>
      </c>
      <c r="I49" s="17">
        <v>0</v>
      </c>
      <c r="J49" s="17" t="s">
        <v>225</v>
      </c>
      <c r="K49" s="17">
        <v>1</v>
      </c>
      <c r="L49" s="17">
        <v>1</v>
      </c>
      <c r="M49" s="17">
        <v>4</v>
      </c>
      <c r="N49" s="17" t="s">
        <v>51</v>
      </c>
      <c r="O49" s="17">
        <v>5</v>
      </c>
      <c r="P49" s="17">
        <v>1</v>
      </c>
      <c r="Q49" s="17">
        <v>1</v>
      </c>
      <c r="R49" s="17">
        <v>4</v>
      </c>
      <c r="S49" s="17">
        <v>3</v>
      </c>
      <c r="T49" s="17">
        <v>1</v>
      </c>
      <c r="U49" s="17">
        <v>1</v>
      </c>
      <c r="V49" s="17">
        <v>4</v>
      </c>
      <c r="W49" s="17" t="s">
        <v>51</v>
      </c>
      <c r="X49" s="17">
        <v>1</v>
      </c>
      <c r="Y49" s="17">
        <v>3</v>
      </c>
      <c r="Z49" s="17">
        <v>3</v>
      </c>
      <c r="AA49" s="17">
        <v>0</v>
      </c>
      <c r="AB49" s="17">
        <v>5</v>
      </c>
      <c r="AC49" s="17">
        <v>5</v>
      </c>
      <c r="AD49" s="17">
        <v>5</v>
      </c>
      <c r="AE49" s="17"/>
      <c r="AF49" s="18"/>
    </row>
    <row r="50" spans="1:32" x14ac:dyDescent="0.35">
      <c r="A50" s="17" t="s">
        <v>237</v>
      </c>
      <c r="B50" s="17" t="s">
        <v>17</v>
      </c>
      <c r="C50" s="17">
        <v>7</v>
      </c>
      <c r="D50" s="17">
        <v>4.5</v>
      </c>
      <c r="E50" s="17">
        <v>5</v>
      </c>
      <c r="F50" s="17">
        <v>2</v>
      </c>
      <c r="G50" s="17">
        <v>3</v>
      </c>
      <c r="H50" s="17">
        <v>3</v>
      </c>
      <c r="I50" s="17">
        <v>2</v>
      </c>
      <c r="J50" s="17" t="s">
        <v>273</v>
      </c>
      <c r="K50" s="17">
        <v>3</v>
      </c>
      <c r="L50" s="17">
        <v>3</v>
      </c>
      <c r="M50" s="17">
        <v>2</v>
      </c>
      <c r="N50" s="17"/>
      <c r="O50" s="17">
        <v>4</v>
      </c>
      <c r="P50" s="17">
        <v>4</v>
      </c>
      <c r="Q50" s="17">
        <v>2</v>
      </c>
      <c r="R50" s="17">
        <v>3</v>
      </c>
      <c r="S50" s="17">
        <v>1</v>
      </c>
      <c r="T50" s="17">
        <v>4</v>
      </c>
      <c r="U50" s="17">
        <v>2</v>
      </c>
      <c r="V50" s="17">
        <v>1</v>
      </c>
      <c r="W50" s="17" t="s">
        <v>274</v>
      </c>
      <c r="X50" s="17">
        <v>1</v>
      </c>
      <c r="Y50" s="17">
        <v>3</v>
      </c>
      <c r="Z50" s="17">
        <v>5</v>
      </c>
      <c r="AA50" s="17">
        <v>5</v>
      </c>
      <c r="AB50" s="17">
        <v>2</v>
      </c>
      <c r="AC50" s="17">
        <v>2</v>
      </c>
      <c r="AD50" s="17">
        <v>1</v>
      </c>
      <c r="AE50" s="17"/>
      <c r="AF50" s="18"/>
    </row>
    <row r="51" spans="1:32" x14ac:dyDescent="0.35">
      <c r="A51" s="13" t="s">
        <v>159</v>
      </c>
      <c r="B51" s="13" t="s">
        <v>17</v>
      </c>
      <c r="C51" s="13">
        <v>7</v>
      </c>
      <c r="D51" s="13">
        <v>2</v>
      </c>
      <c r="E51" s="13">
        <v>1</v>
      </c>
      <c r="F51" s="13">
        <v>1</v>
      </c>
      <c r="G51" s="13">
        <v>0</v>
      </c>
      <c r="H51" s="13">
        <v>0</v>
      </c>
      <c r="I51" s="13">
        <v>0</v>
      </c>
      <c r="J51" s="13"/>
      <c r="K51" s="13">
        <v>2</v>
      </c>
      <c r="L51" s="13">
        <v>1</v>
      </c>
      <c r="M51" s="13">
        <v>1</v>
      </c>
      <c r="N51" s="13"/>
      <c r="O51" s="13">
        <v>5</v>
      </c>
      <c r="P51" s="13">
        <v>1</v>
      </c>
      <c r="Q51" s="13">
        <v>1</v>
      </c>
      <c r="R51" s="13">
        <v>3</v>
      </c>
      <c r="S51" s="13">
        <v>4</v>
      </c>
      <c r="T51" s="13">
        <v>2</v>
      </c>
      <c r="U51" s="13">
        <v>1</v>
      </c>
      <c r="V51" s="13">
        <v>2</v>
      </c>
      <c r="W51" s="13"/>
      <c r="X51" s="13">
        <v>1</v>
      </c>
      <c r="Y51" s="13">
        <v>3</v>
      </c>
      <c r="Z51" s="13">
        <v>2</v>
      </c>
      <c r="AA51" s="13">
        <v>2</v>
      </c>
      <c r="AB51" s="13">
        <v>1</v>
      </c>
      <c r="AC51" s="13">
        <v>5</v>
      </c>
      <c r="AD51" s="13">
        <v>5</v>
      </c>
      <c r="AE51" s="13"/>
      <c r="AF51" s="14"/>
    </row>
    <row r="52" spans="1:32" s="29" customFormat="1" ht="13.15" x14ac:dyDescent="0.4">
      <c r="A52" s="28" t="s">
        <v>295</v>
      </c>
      <c r="D52" s="30">
        <f>AVERAGE(D45:D51)</f>
        <v>3.5</v>
      </c>
      <c r="E52" s="30">
        <f t="shared" ref="E52:AE52" si="2">AVERAGE(E45:E51)</f>
        <v>2.2857142857142856</v>
      </c>
      <c r="F52" s="30">
        <f t="shared" si="2"/>
        <v>1.1428571428571428</v>
      </c>
      <c r="G52" s="30">
        <f t="shared" si="2"/>
        <v>2</v>
      </c>
      <c r="H52" s="30">
        <f t="shared" si="2"/>
        <v>1.7142857142857142</v>
      </c>
      <c r="I52" s="30">
        <f t="shared" si="2"/>
        <v>1</v>
      </c>
      <c r="J52" s="30"/>
      <c r="K52" s="30">
        <f t="shared" si="2"/>
        <v>2.2857142857142856</v>
      </c>
      <c r="L52" s="30">
        <f t="shared" si="2"/>
        <v>2.4285714285714284</v>
      </c>
      <c r="M52" s="30">
        <f t="shared" si="2"/>
        <v>3.1428571428571428</v>
      </c>
      <c r="N52" s="30"/>
      <c r="O52" s="30">
        <f t="shared" si="2"/>
        <v>4.4285714285714288</v>
      </c>
      <c r="P52" s="30">
        <f t="shared" si="2"/>
        <v>3</v>
      </c>
      <c r="Q52" s="30">
        <f t="shared" si="2"/>
        <v>1.8571428571428572</v>
      </c>
      <c r="R52" s="30">
        <f t="shared" si="2"/>
        <v>2.7142857142857144</v>
      </c>
      <c r="S52" s="30">
        <f t="shared" si="2"/>
        <v>2</v>
      </c>
      <c r="T52" s="30">
        <f t="shared" si="2"/>
        <v>2.8571428571428572</v>
      </c>
      <c r="U52" s="30">
        <f t="shared" si="2"/>
        <v>2</v>
      </c>
      <c r="V52" s="30">
        <f t="shared" si="2"/>
        <v>2.7142857142857144</v>
      </c>
      <c r="W52" s="30"/>
      <c r="X52" s="30">
        <f t="shared" si="2"/>
        <v>2.1428571428571428</v>
      </c>
      <c r="Y52" s="30">
        <f t="shared" si="2"/>
        <v>3.4285714285714284</v>
      </c>
      <c r="Z52" s="30">
        <f t="shared" si="2"/>
        <v>3.2857142857142856</v>
      </c>
      <c r="AA52" s="30">
        <f t="shared" si="2"/>
        <v>2.7142857142857144</v>
      </c>
      <c r="AB52" s="30">
        <f t="shared" si="2"/>
        <v>2.4285714285714284</v>
      </c>
      <c r="AC52" s="30">
        <f t="shared" si="2"/>
        <v>3</v>
      </c>
      <c r="AD52" s="30">
        <f t="shared" si="2"/>
        <v>2.8571428571428572</v>
      </c>
      <c r="AE52" s="30">
        <f t="shared" si="2"/>
        <v>7</v>
      </c>
    </row>
    <row r="54" spans="1:32" ht="13.15" x14ac:dyDescent="0.35">
      <c r="A54" s="26" t="s">
        <v>20</v>
      </c>
    </row>
    <row r="55" spans="1:32" ht="51" x14ac:dyDescent="0.35">
      <c r="A55" s="10" t="s">
        <v>1</v>
      </c>
      <c r="B55" s="10" t="s">
        <v>2</v>
      </c>
      <c r="C55" s="10" t="s">
        <v>3</v>
      </c>
      <c r="D55" s="21" t="s">
        <v>287</v>
      </c>
      <c r="E55" s="21" t="s">
        <v>292</v>
      </c>
      <c r="F55" s="21" t="s">
        <v>293</v>
      </c>
      <c r="G55" s="21" t="s">
        <v>47</v>
      </c>
      <c r="H55" s="22" t="s">
        <v>288</v>
      </c>
      <c r="I55" s="22" t="s">
        <v>289</v>
      </c>
      <c r="J55" s="10" t="s">
        <v>4</v>
      </c>
      <c r="K55" s="22" t="s">
        <v>37</v>
      </c>
      <c r="L55" s="22" t="s">
        <v>290</v>
      </c>
      <c r="M55" s="22" t="s">
        <v>291</v>
      </c>
      <c r="N55" s="10" t="s">
        <v>5</v>
      </c>
      <c r="O55" s="21" t="s">
        <v>294</v>
      </c>
      <c r="P55" s="21" t="s">
        <v>292</v>
      </c>
      <c r="Q55" s="21" t="s">
        <v>293</v>
      </c>
      <c r="R55" s="21" t="s">
        <v>47</v>
      </c>
      <c r="S55" s="22" t="s">
        <v>288</v>
      </c>
      <c r="T55" s="22" t="s">
        <v>37</v>
      </c>
      <c r="U55" s="22" t="s">
        <v>290</v>
      </c>
      <c r="V55" s="22" t="s">
        <v>291</v>
      </c>
      <c r="W55" s="10" t="s">
        <v>6</v>
      </c>
      <c r="X55" s="11" t="s">
        <v>7</v>
      </c>
      <c r="Y55" s="10" t="s">
        <v>8</v>
      </c>
      <c r="Z55" s="10" t="s">
        <v>9</v>
      </c>
      <c r="AA55" s="10" t="s">
        <v>10</v>
      </c>
      <c r="AB55" s="10" t="s">
        <v>11</v>
      </c>
      <c r="AC55" s="10" t="s">
        <v>12</v>
      </c>
      <c r="AD55" s="10" t="s">
        <v>13</v>
      </c>
      <c r="AE55" s="11" t="s">
        <v>14</v>
      </c>
      <c r="AF55" s="12" t="s">
        <v>15</v>
      </c>
    </row>
    <row r="56" spans="1:32" x14ac:dyDescent="0.35">
      <c r="A56" s="13" t="s">
        <v>30</v>
      </c>
      <c r="B56" s="13" t="s">
        <v>20</v>
      </c>
      <c r="C56" s="13">
        <v>7</v>
      </c>
      <c r="D56" s="13">
        <v>4</v>
      </c>
      <c r="E56" s="13">
        <v>1</v>
      </c>
      <c r="F56" s="13">
        <v>3</v>
      </c>
      <c r="G56" s="13">
        <v>4</v>
      </c>
      <c r="H56" s="13">
        <v>2</v>
      </c>
      <c r="I56" s="13">
        <v>0</v>
      </c>
      <c r="J56" s="13"/>
      <c r="K56" s="13">
        <v>2</v>
      </c>
      <c r="L56" s="13">
        <v>4</v>
      </c>
      <c r="M56" s="13">
        <v>5</v>
      </c>
      <c r="N56" s="13" t="s">
        <v>164</v>
      </c>
      <c r="O56" s="13">
        <v>5</v>
      </c>
      <c r="P56" s="13">
        <v>2</v>
      </c>
      <c r="Q56" s="13">
        <v>5</v>
      </c>
      <c r="R56" s="13">
        <v>5</v>
      </c>
      <c r="S56" s="13">
        <v>4</v>
      </c>
      <c r="T56" s="13">
        <v>1</v>
      </c>
      <c r="U56" s="13">
        <v>1</v>
      </c>
      <c r="V56" s="13">
        <v>4</v>
      </c>
      <c r="W56" s="13" t="s">
        <v>104</v>
      </c>
      <c r="X56" s="13">
        <v>2</v>
      </c>
      <c r="Y56" s="13">
        <v>5</v>
      </c>
      <c r="Z56" s="13">
        <v>4</v>
      </c>
      <c r="AA56" s="13">
        <v>4</v>
      </c>
      <c r="AB56" s="13">
        <v>4</v>
      </c>
      <c r="AC56" s="13">
        <v>4</v>
      </c>
      <c r="AD56" s="13">
        <v>3</v>
      </c>
      <c r="AE56" s="13"/>
      <c r="AF56" s="14"/>
    </row>
    <row r="57" spans="1:32" x14ac:dyDescent="0.35">
      <c r="A57" s="17" t="s">
        <v>23</v>
      </c>
      <c r="B57" s="17" t="s">
        <v>20</v>
      </c>
      <c r="C57" s="17">
        <v>7</v>
      </c>
      <c r="D57" s="17">
        <v>3</v>
      </c>
      <c r="E57" s="17">
        <v>2</v>
      </c>
      <c r="F57" s="17">
        <v>0</v>
      </c>
      <c r="G57" s="17">
        <v>3</v>
      </c>
      <c r="H57" s="17">
        <v>1</v>
      </c>
      <c r="I57" s="17">
        <v>0</v>
      </c>
      <c r="J57" s="17"/>
      <c r="K57" s="17">
        <v>4</v>
      </c>
      <c r="L57" s="17">
        <v>4</v>
      </c>
      <c r="M57" s="17">
        <v>4</v>
      </c>
      <c r="N57" s="17" t="s">
        <v>223</v>
      </c>
      <c r="O57" s="17">
        <v>1</v>
      </c>
      <c r="P57" s="17">
        <v>3</v>
      </c>
      <c r="Q57" s="17">
        <v>2</v>
      </c>
      <c r="R57" s="17">
        <v>3</v>
      </c>
      <c r="S57" s="17">
        <v>3</v>
      </c>
      <c r="T57" s="17">
        <v>4</v>
      </c>
      <c r="U57" s="17">
        <v>4</v>
      </c>
      <c r="V57" s="17">
        <v>2</v>
      </c>
      <c r="W57" s="17"/>
      <c r="X57" s="17">
        <v>4</v>
      </c>
      <c r="Y57" s="17">
        <v>1</v>
      </c>
      <c r="Z57" s="17">
        <v>1</v>
      </c>
      <c r="AA57" s="17">
        <v>1</v>
      </c>
      <c r="AB57" s="17">
        <v>4</v>
      </c>
      <c r="AC57" s="17">
        <v>4</v>
      </c>
      <c r="AD57" s="17">
        <v>4</v>
      </c>
      <c r="AE57" s="17"/>
      <c r="AF57" s="18"/>
    </row>
    <row r="58" spans="1:32" x14ac:dyDescent="0.35">
      <c r="A58" s="19" t="s">
        <v>133</v>
      </c>
      <c r="B58" s="19" t="s">
        <v>20</v>
      </c>
      <c r="C58" s="19">
        <v>7</v>
      </c>
      <c r="D58" s="19">
        <v>2</v>
      </c>
      <c r="E58" s="19">
        <v>3</v>
      </c>
      <c r="F58" s="19">
        <v>2</v>
      </c>
      <c r="G58" s="19">
        <v>1</v>
      </c>
      <c r="H58" s="19">
        <v>0</v>
      </c>
      <c r="I58" s="19">
        <v>0</v>
      </c>
      <c r="J58" s="19" t="s">
        <v>218</v>
      </c>
      <c r="K58" s="19">
        <v>1</v>
      </c>
      <c r="L58" s="19">
        <v>1</v>
      </c>
      <c r="M58" s="19">
        <v>2</v>
      </c>
      <c r="N58" s="19"/>
      <c r="O58" s="19">
        <v>4</v>
      </c>
      <c r="P58" s="19">
        <v>4</v>
      </c>
      <c r="Q58" s="19">
        <v>3</v>
      </c>
      <c r="R58" s="19">
        <v>1</v>
      </c>
      <c r="S58" s="19">
        <v>1</v>
      </c>
      <c r="T58" s="19">
        <v>1</v>
      </c>
      <c r="U58" s="19">
        <v>1</v>
      </c>
      <c r="V58" s="19">
        <v>2</v>
      </c>
      <c r="W58" s="19" t="s">
        <v>226</v>
      </c>
      <c r="X58" s="19">
        <v>2</v>
      </c>
      <c r="Y58" s="19">
        <v>4</v>
      </c>
      <c r="Z58" s="19">
        <v>3</v>
      </c>
      <c r="AA58" s="19">
        <v>3</v>
      </c>
      <c r="AB58" s="19">
        <v>1</v>
      </c>
      <c r="AC58" s="19">
        <v>1</v>
      </c>
      <c r="AD58" s="19">
        <v>1</v>
      </c>
      <c r="AE58" s="19" t="s">
        <v>227</v>
      </c>
      <c r="AF58" s="20"/>
    </row>
    <row r="59" spans="1:32" x14ac:dyDescent="0.35">
      <c r="A59" s="15" t="s">
        <v>33</v>
      </c>
      <c r="B59" s="15" t="s">
        <v>20</v>
      </c>
      <c r="C59" s="15">
        <v>7</v>
      </c>
      <c r="D59" s="15">
        <v>3</v>
      </c>
      <c r="E59" s="15">
        <v>4</v>
      </c>
      <c r="F59" s="15">
        <v>5</v>
      </c>
      <c r="G59" s="15">
        <v>4</v>
      </c>
      <c r="H59" s="15">
        <v>1.5</v>
      </c>
      <c r="I59" s="15">
        <v>0</v>
      </c>
      <c r="J59" s="15" t="s">
        <v>203</v>
      </c>
      <c r="K59" s="15">
        <v>2</v>
      </c>
      <c r="L59" s="15">
        <v>1</v>
      </c>
      <c r="M59" s="15">
        <v>3</v>
      </c>
      <c r="N59" s="15"/>
      <c r="O59" s="15">
        <v>4</v>
      </c>
      <c r="P59" s="15">
        <v>1</v>
      </c>
      <c r="Q59" s="15">
        <v>5</v>
      </c>
      <c r="R59" s="15">
        <v>4</v>
      </c>
      <c r="S59" s="15">
        <v>3</v>
      </c>
      <c r="T59" s="15">
        <v>1</v>
      </c>
      <c r="U59" s="15">
        <v>3</v>
      </c>
      <c r="V59" s="15">
        <v>4</v>
      </c>
      <c r="W59" s="15"/>
      <c r="X59" s="15">
        <v>3</v>
      </c>
      <c r="Y59" s="15">
        <v>3</v>
      </c>
      <c r="Z59" s="15">
        <v>5</v>
      </c>
      <c r="AA59" s="15">
        <v>4</v>
      </c>
      <c r="AB59" s="15">
        <v>4</v>
      </c>
      <c r="AC59" s="15">
        <v>3</v>
      </c>
      <c r="AD59" s="15">
        <v>3</v>
      </c>
      <c r="AE59" s="15"/>
      <c r="AF59" s="16"/>
    </row>
    <row r="60" spans="1:32" x14ac:dyDescent="0.35">
      <c r="A60" s="13" t="s">
        <v>85</v>
      </c>
      <c r="B60" s="13" t="s">
        <v>20</v>
      </c>
      <c r="C60" s="13">
        <v>7</v>
      </c>
      <c r="D60" s="13">
        <v>5</v>
      </c>
      <c r="E60" s="13">
        <v>4</v>
      </c>
      <c r="F60" s="13">
        <v>3</v>
      </c>
      <c r="G60" s="13">
        <v>2</v>
      </c>
      <c r="H60" s="13">
        <v>1</v>
      </c>
      <c r="I60" s="13">
        <v>4</v>
      </c>
      <c r="J60" s="13" t="s">
        <v>233</v>
      </c>
      <c r="K60" s="13">
        <v>1</v>
      </c>
      <c r="L60" s="13">
        <v>1</v>
      </c>
      <c r="M60" s="13">
        <v>3</v>
      </c>
      <c r="N60" s="13" t="s">
        <v>234</v>
      </c>
      <c r="O60" s="13">
        <v>5</v>
      </c>
      <c r="P60" s="13">
        <v>4</v>
      </c>
      <c r="Q60" s="13">
        <v>5</v>
      </c>
      <c r="R60" s="13">
        <v>3</v>
      </c>
      <c r="S60" s="13">
        <v>1</v>
      </c>
      <c r="T60" s="13">
        <v>1</v>
      </c>
      <c r="U60" s="13">
        <v>1</v>
      </c>
      <c r="V60" s="13">
        <v>4</v>
      </c>
      <c r="W60" s="13" t="s">
        <v>235</v>
      </c>
      <c r="X60" s="13">
        <v>2</v>
      </c>
      <c r="Y60" s="13">
        <v>4</v>
      </c>
      <c r="Z60" s="13">
        <v>4</v>
      </c>
      <c r="AA60" s="13">
        <v>4</v>
      </c>
      <c r="AB60" s="13">
        <v>3</v>
      </c>
      <c r="AC60" s="13">
        <v>3</v>
      </c>
      <c r="AD60" s="13">
        <v>3</v>
      </c>
      <c r="AE60" s="13"/>
      <c r="AF60" s="14" t="s">
        <v>236</v>
      </c>
    </row>
    <row r="61" spans="1:32" x14ac:dyDescent="0.35">
      <c r="A61" s="17" t="s">
        <v>39</v>
      </c>
      <c r="B61" s="17" t="s">
        <v>20</v>
      </c>
      <c r="C61" s="17">
        <v>7</v>
      </c>
      <c r="D61" s="17">
        <v>3</v>
      </c>
      <c r="E61" s="17">
        <v>3</v>
      </c>
      <c r="F61" s="17">
        <v>3</v>
      </c>
      <c r="G61" s="17">
        <v>2</v>
      </c>
      <c r="H61" s="17">
        <v>0</v>
      </c>
      <c r="I61" s="17">
        <v>0</v>
      </c>
      <c r="J61" s="17" t="s">
        <v>112</v>
      </c>
      <c r="K61" s="17">
        <v>2</v>
      </c>
      <c r="L61" s="17">
        <v>3</v>
      </c>
      <c r="M61" s="17">
        <v>2</v>
      </c>
      <c r="N61" s="17"/>
      <c r="O61" s="17">
        <v>4</v>
      </c>
      <c r="P61" s="17">
        <v>4</v>
      </c>
      <c r="Q61" s="17">
        <v>4</v>
      </c>
      <c r="R61" s="17">
        <v>3</v>
      </c>
      <c r="S61" s="17">
        <v>1</v>
      </c>
      <c r="T61" s="17">
        <v>3</v>
      </c>
      <c r="U61" s="17">
        <v>3</v>
      </c>
      <c r="V61" s="17">
        <v>3</v>
      </c>
      <c r="W61" s="17"/>
      <c r="X61" s="17">
        <v>3</v>
      </c>
      <c r="Y61" s="17">
        <v>4</v>
      </c>
      <c r="Z61" s="17">
        <v>4</v>
      </c>
      <c r="AA61" s="17">
        <v>2.5</v>
      </c>
      <c r="AB61" s="17">
        <v>3</v>
      </c>
      <c r="AC61" s="17">
        <v>3</v>
      </c>
      <c r="AD61" s="17">
        <v>3</v>
      </c>
      <c r="AE61" s="17"/>
      <c r="AF61" s="18"/>
    </row>
    <row r="62" spans="1:32" x14ac:dyDescent="0.35">
      <c r="A62" s="15" t="s">
        <v>71</v>
      </c>
      <c r="B62" s="15" t="s">
        <v>20</v>
      </c>
      <c r="C62" s="15">
        <v>7</v>
      </c>
      <c r="D62" s="15">
        <v>4</v>
      </c>
      <c r="E62" s="15">
        <v>4</v>
      </c>
      <c r="F62" s="15">
        <v>3</v>
      </c>
      <c r="G62" s="15">
        <v>4</v>
      </c>
      <c r="H62" s="15">
        <v>1</v>
      </c>
      <c r="I62" s="15">
        <v>0</v>
      </c>
      <c r="J62" s="15"/>
      <c r="K62" s="15">
        <v>3</v>
      </c>
      <c r="L62" s="15">
        <v>2</v>
      </c>
      <c r="M62" s="15">
        <v>4</v>
      </c>
      <c r="N62" s="15" t="s">
        <v>238</v>
      </c>
      <c r="O62" s="15">
        <v>5</v>
      </c>
      <c r="P62" s="15">
        <v>4</v>
      </c>
      <c r="Q62" s="15">
        <v>5</v>
      </c>
      <c r="R62" s="15">
        <v>5</v>
      </c>
      <c r="S62" s="15">
        <v>3</v>
      </c>
      <c r="T62" s="15">
        <v>2</v>
      </c>
      <c r="U62" s="15">
        <v>1</v>
      </c>
      <c r="V62" s="15">
        <v>3</v>
      </c>
      <c r="W62" s="15"/>
      <c r="X62" s="15">
        <v>3</v>
      </c>
      <c r="Y62" s="15">
        <v>4</v>
      </c>
      <c r="Z62" s="15">
        <v>5</v>
      </c>
      <c r="AA62" s="15">
        <v>4</v>
      </c>
      <c r="AB62" s="15">
        <v>2</v>
      </c>
      <c r="AC62" s="15">
        <v>2</v>
      </c>
      <c r="AD62" s="15">
        <v>2</v>
      </c>
      <c r="AE62" s="15"/>
      <c r="AF62" s="16"/>
    </row>
    <row r="63" spans="1:32" x14ac:dyDescent="0.35">
      <c r="A63" s="13" t="s">
        <v>176</v>
      </c>
      <c r="B63" s="13" t="s">
        <v>20</v>
      </c>
      <c r="C63" s="13">
        <v>7</v>
      </c>
      <c r="D63" s="13">
        <v>4</v>
      </c>
      <c r="E63" s="13">
        <v>4</v>
      </c>
      <c r="F63" s="13">
        <v>1</v>
      </c>
      <c r="G63" s="13">
        <v>2</v>
      </c>
      <c r="H63" s="13">
        <v>0</v>
      </c>
      <c r="I63" s="13">
        <v>0</v>
      </c>
      <c r="J63" s="13" t="s">
        <v>242</v>
      </c>
      <c r="K63" s="13">
        <v>1</v>
      </c>
      <c r="L63" s="13">
        <v>1</v>
      </c>
      <c r="M63" s="13">
        <v>3</v>
      </c>
      <c r="N63" s="13" t="s">
        <v>179</v>
      </c>
      <c r="O63" s="13">
        <v>4</v>
      </c>
      <c r="P63" s="13">
        <v>4</v>
      </c>
      <c r="Q63" s="13">
        <v>1</v>
      </c>
      <c r="R63" s="13">
        <v>1</v>
      </c>
      <c r="S63" s="13">
        <v>1</v>
      </c>
      <c r="T63" s="13">
        <v>1</v>
      </c>
      <c r="U63" s="13">
        <v>1</v>
      </c>
      <c r="V63" s="13">
        <v>2</v>
      </c>
      <c r="W63" s="13" t="s">
        <v>243</v>
      </c>
      <c r="X63" s="13">
        <v>2</v>
      </c>
      <c r="Y63" s="13">
        <v>5</v>
      </c>
      <c r="Z63" s="13">
        <v>4</v>
      </c>
      <c r="AA63" s="13">
        <v>2</v>
      </c>
      <c r="AB63" s="13">
        <v>3</v>
      </c>
      <c r="AC63" s="13">
        <v>3</v>
      </c>
      <c r="AD63" s="13">
        <v>3</v>
      </c>
      <c r="AE63" s="13"/>
      <c r="AF63" s="14"/>
    </row>
    <row r="64" spans="1:32" x14ac:dyDescent="0.35">
      <c r="A64" s="15" t="s">
        <v>81</v>
      </c>
      <c r="B64" s="15" t="s">
        <v>20</v>
      </c>
      <c r="C64" s="15">
        <v>7</v>
      </c>
      <c r="D64" s="15">
        <v>1</v>
      </c>
      <c r="E64" s="15">
        <v>1</v>
      </c>
      <c r="F64" s="15">
        <v>0</v>
      </c>
      <c r="G64" s="15">
        <v>0</v>
      </c>
      <c r="H64" s="15">
        <v>1</v>
      </c>
      <c r="I64" s="15">
        <v>0</v>
      </c>
      <c r="J64" s="15"/>
      <c r="K64" s="15">
        <v>1</v>
      </c>
      <c r="L64" s="15">
        <v>2</v>
      </c>
      <c r="M64" s="15">
        <v>1</v>
      </c>
      <c r="N64" s="15"/>
      <c r="O64" s="15">
        <v>4</v>
      </c>
      <c r="P64" s="15">
        <v>2</v>
      </c>
      <c r="Q64" s="15">
        <v>1</v>
      </c>
      <c r="R64" s="15">
        <v>1</v>
      </c>
      <c r="S64" s="15">
        <v>2</v>
      </c>
      <c r="T64" s="15">
        <v>1</v>
      </c>
      <c r="U64" s="15">
        <v>2</v>
      </c>
      <c r="V64" s="15">
        <v>1</v>
      </c>
      <c r="W64" s="15"/>
      <c r="X64" s="15">
        <v>2</v>
      </c>
      <c r="Y64" s="15">
        <v>2</v>
      </c>
      <c r="Z64" s="15">
        <v>1</v>
      </c>
      <c r="AA64" s="15">
        <v>0</v>
      </c>
      <c r="AB64" s="15">
        <v>2</v>
      </c>
      <c r="AC64" s="15">
        <v>3</v>
      </c>
      <c r="AD64" s="15">
        <v>4</v>
      </c>
      <c r="AE64" s="15"/>
      <c r="AF64" s="16"/>
    </row>
    <row r="65" spans="1:32" x14ac:dyDescent="0.35">
      <c r="A65" s="17" t="s">
        <v>208</v>
      </c>
      <c r="B65" s="17" t="s">
        <v>20</v>
      </c>
      <c r="C65" s="17">
        <v>7</v>
      </c>
      <c r="D65" s="17">
        <v>4</v>
      </c>
      <c r="E65" s="17">
        <v>4</v>
      </c>
      <c r="F65" s="17">
        <v>3</v>
      </c>
      <c r="G65" s="17">
        <v>3</v>
      </c>
      <c r="H65" s="17">
        <v>2</v>
      </c>
      <c r="I65" s="17">
        <v>3</v>
      </c>
      <c r="J65" s="17" t="s">
        <v>250</v>
      </c>
      <c r="K65" s="17">
        <v>1</v>
      </c>
      <c r="L65" s="17">
        <v>3</v>
      </c>
      <c r="M65" s="17">
        <v>3</v>
      </c>
      <c r="N65" s="17" t="s">
        <v>251</v>
      </c>
      <c r="O65" s="17">
        <v>5</v>
      </c>
      <c r="P65" s="17">
        <v>5</v>
      </c>
      <c r="Q65" s="17">
        <v>3</v>
      </c>
      <c r="R65" s="17">
        <v>3</v>
      </c>
      <c r="S65" s="17">
        <v>4</v>
      </c>
      <c r="T65" s="17">
        <v>1</v>
      </c>
      <c r="U65" s="17">
        <v>3</v>
      </c>
      <c r="V65" s="17">
        <v>3</v>
      </c>
      <c r="W65" s="17" t="s">
        <v>252</v>
      </c>
      <c r="X65" s="17">
        <v>5</v>
      </c>
      <c r="Y65" s="17">
        <v>5</v>
      </c>
      <c r="Z65" s="17">
        <v>4</v>
      </c>
      <c r="AA65" s="17">
        <v>2</v>
      </c>
      <c r="AB65" s="17">
        <v>1</v>
      </c>
      <c r="AC65" s="17">
        <v>2</v>
      </c>
      <c r="AD65" s="17">
        <v>2</v>
      </c>
      <c r="AE65" s="17" t="s">
        <v>253</v>
      </c>
      <c r="AF65" s="18"/>
    </row>
    <row r="66" spans="1:32" x14ac:dyDescent="0.35">
      <c r="A66" s="19" t="s">
        <v>161</v>
      </c>
      <c r="B66" s="19" t="s">
        <v>20</v>
      </c>
      <c r="C66" s="19">
        <v>7</v>
      </c>
      <c r="D66" s="19">
        <v>3</v>
      </c>
      <c r="E66" s="19">
        <v>1</v>
      </c>
      <c r="F66" s="19">
        <v>3</v>
      </c>
      <c r="G66" s="19">
        <v>4</v>
      </c>
      <c r="H66" s="19">
        <v>2</v>
      </c>
      <c r="I66" s="19">
        <v>1</v>
      </c>
      <c r="J66" s="19"/>
      <c r="K66" s="19">
        <v>2</v>
      </c>
      <c r="L66" s="19">
        <v>3</v>
      </c>
      <c r="M66" s="19">
        <v>3</v>
      </c>
      <c r="N66" s="19"/>
      <c r="O66" s="19">
        <v>5</v>
      </c>
      <c r="P66" s="19">
        <v>1</v>
      </c>
      <c r="Q66" s="19">
        <v>3</v>
      </c>
      <c r="R66" s="19">
        <v>4</v>
      </c>
      <c r="S66" s="19">
        <v>2</v>
      </c>
      <c r="T66" s="19">
        <v>1</v>
      </c>
      <c r="U66" s="19">
        <v>3</v>
      </c>
      <c r="V66" s="19">
        <v>3</v>
      </c>
      <c r="W66" s="19"/>
      <c r="X66" s="19">
        <v>2</v>
      </c>
      <c r="Y66" s="19">
        <v>2</v>
      </c>
      <c r="Z66" s="19">
        <v>4</v>
      </c>
      <c r="AA66" s="19">
        <v>2</v>
      </c>
      <c r="AB66" s="19">
        <v>1</v>
      </c>
      <c r="AC66" s="19">
        <v>4</v>
      </c>
      <c r="AD66" s="19">
        <v>2</v>
      </c>
      <c r="AE66" s="19"/>
      <c r="AF66" s="20"/>
    </row>
    <row r="67" spans="1:32" x14ac:dyDescent="0.35">
      <c r="A67" s="19" t="s">
        <v>44</v>
      </c>
      <c r="B67" s="19" t="s">
        <v>20</v>
      </c>
      <c r="C67" s="19">
        <v>7</v>
      </c>
      <c r="D67" s="19">
        <v>4</v>
      </c>
      <c r="E67" s="19">
        <v>3</v>
      </c>
      <c r="F67" s="19">
        <v>3</v>
      </c>
      <c r="G67" s="19">
        <v>1</v>
      </c>
      <c r="H67" s="19">
        <v>1</v>
      </c>
      <c r="I67" s="19">
        <v>2</v>
      </c>
      <c r="J67" s="19" t="s">
        <v>255</v>
      </c>
      <c r="K67" s="19">
        <v>1</v>
      </c>
      <c r="L67" s="19">
        <v>1</v>
      </c>
      <c r="M67" s="19">
        <v>1</v>
      </c>
      <c r="N67" s="19"/>
      <c r="O67" s="19">
        <v>3</v>
      </c>
      <c r="P67" s="19">
        <v>2</v>
      </c>
      <c r="Q67" s="19">
        <v>4</v>
      </c>
      <c r="R67" s="19">
        <v>2</v>
      </c>
      <c r="S67" s="19">
        <v>2</v>
      </c>
      <c r="T67" s="19">
        <v>1</v>
      </c>
      <c r="U67" s="19">
        <v>1</v>
      </c>
      <c r="V67" s="19">
        <v>1</v>
      </c>
      <c r="W67" s="19" t="s">
        <v>256</v>
      </c>
      <c r="X67" s="19">
        <v>4</v>
      </c>
      <c r="Y67" s="19">
        <v>4</v>
      </c>
      <c r="Z67" s="19">
        <v>2</v>
      </c>
      <c r="AA67" s="19">
        <v>1</v>
      </c>
      <c r="AB67" s="19">
        <v>3</v>
      </c>
      <c r="AC67" s="19">
        <v>2</v>
      </c>
      <c r="AD67" s="19">
        <v>1</v>
      </c>
      <c r="AE67" s="19"/>
      <c r="AF67" s="20"/>
    </row>
    <row r="68" spans="1:32" x14ac:dyDescent="0.35">
      <c r="A68" s="15" t="s">
        <v>28</v>
      </c>
      <c r="B68" s="15" t="s">
        <v>20</v>
      </c>
      <c r="C68" s="15">
        <v>7</v>
      </c>
      <c r="D68" s="15">
        <v>3</v>
      </c>
      <c r="E68" s="15">
        <v>5</v>
      </c>
      <c r="F68" s="15">
        <v>3</v>
      </c>
      <c r="G68" s="15">
        <v>3</v>
      </c>
      <c r="H68" s="15">
        <v>4</v>
      </c>
      <c r="I68" s="15">
        <v>0</v>
      </c>
      <c r="J68" s="15" t="s">
        <v>257</v>
      </c>
      <c r="K68" s="15">
        <v>1</v>
      </c>
      <c r="L68" s="15">
        <v>1</v>
      </c>
      <c r="M68" s="15">
        <v>1</v>
      </c>
      <c r="N68" s="15"/>
      <c r="O68" s="15">
        <v>5</v>
      </c>
      <c r="P68" s="15">
        <v>5</v>
      </c>
      <c r="Q68" s="15">
        <v>4</v>
      </c>
      <c r="R68" s="15">
        <v>4</v>
      </c>
      <c r="S68" s="15">
        <v>2</v>
      </c>
      <c r="T68" s="15">
        <v>1</v>
      </c>
      <c r="U68" s="15">
        <v>1</v>
      </c>
      <c r="V68" s="15">
        <v>1</v>
      </c>
      <c r="W68" s="15"/>
      <c r="X68" s="15">
        <v>2</v>
      </c>
      <c r="Y68" s="15">
        <v>5</v>
      </c>
      <c r="Z68" s="15">
        <v>5</v>
      </c>
      <c r="AA68" s="15">
        <v>1</v>
      </c>
      <c r="AB68" s="15">
        <v>2</v>
      </c>
      <c r="AC68" s="15">
        <v>2</v>
      </c>
      <c r="AD68" s="15">
        <v>3</v>
      </c>
      <c r="AE68" s="15"/>
      <c r="AF68" s="16"/>
    </row>
    <row r="69" spans="1:32" x14ac:dyDescent="0.35">
      <c r="A69" s="13" t="s">
        <v>42</v>
      </c>
      <c r="B69" s="13" t="s">
        <v>20</v>
      </c>
      <c r="C69" s="13">
        <v>7</v>
      </c>
      <c r="D69" s="13">
        <v>5</v>
      </c>
      <c r="E69" s="13">
        <v>4</v>
      </c>
      <c r="F69" s="13">
        <v>3</v>
      </c>
      <c r="G69" s="13">
        <v>0</v>
      </c>
      <c r="H69" s="13">
        <v>0</v>
      </c>
      <c r="I69" s="13">
        <v>0</v>
      </c>
      <c r="J69" s="13" t="s">
        <v>263</v>
      </c>
      <c r="K69" s="13">
        <v>1</v>
      </c>
      <c r="L69" s="13">
        <v>1</v>
      </c>
      <c r="M69" s="13">
        <v>3</v>
      </c>
      <c r="N69" s="13"/>
      <c r="O69" s="13">
        <v>5</v>
      </c>
      <c r="P69" s="13">
        <v>3</v>
      </c>
      <c r="Q69" s="13">
        <v>5</v>
      </c>
      <c r="R69" s="13">
        <v>4</v>
      </c>
      <c r="S69" s="13">
        <v>1</v>
      </c>
      <c r="T69" s="13">
        <v>1</v>
      </c>
      <c r="U69" s="13">
        <v>1</v>
      </c>
      <c r="V69" s="13">
        <v>3</v>
      </c>
      <c r="W69" s="13"/>
      <c r="X69" s="13">
        <v>4</v>
      </c>
      <c r="Y69" s="13">
        <v>2</v>
      </c>
      <c r="Z69" s="13">
        <v>5</v>
      </c>
      <c r="AA69" s="13">
        <v>4</v>
      </c>
      <c r="AB69" s="13">
        <v>2</v>
      </c>
      <c r="AC69" s="13">
        <v>2</v>
      </c>
      <c r="AD69" s="13">
        <v>2</v>
      </c>
      <c r="AE69" s="13"/>
      <c r="AF69" s="14"/>
    </row>
    <row r="70" spans="1:32" x14ac:dyDescent="0.35">
      <c r="A70" s="19" t="s">
        <v>63</v>
      </c>
      <c r="B70" s="19" t="s">
        <v>20</v>
      </c>
      <c r="C70" s="19">
        <v>7</v>
      </c>
      <c r="D70" s="19">
        <v>4</v>
      </c>
      <c r="E70" s="19">
        <v>5</v>
      </c>
      <c r="F70" s="19">
        <v>4</v>
      </c>
      <c r="G70" s="19">
        <v>2</v>
      </c>
      <c r="H70" s="19">
        <v>2</v>
      </c>
      <c r="I70" s="19">
        <v>0</v>
      </c>
      <c r="J70" s="19"/>
      <c r="K70" s="19">
        <v>1</v>
      </c>
      <c r="L70" s="19">
        <v>1</v>
      </c>
      <c r="M70" s="19">
        <v>5</v>
      </c>
      <c r="N70" s="19" t="s">
        <v>265</v>
      </c>
      <c r="O70" s="19">
        <v>5</v>
      </c>
      <c r="P70" s="19">
        <v>2</v>
      </c>
      <c r="Q70" s="19">
        <v>4</v>
      </c>
      <c r="R70" s="19">
        <v>1</v>
      </c>
      <c r="S70" s="19">
        <v>1</v>
      </c>
      <c r="T70" s="19">
        <v>1</v>
      </c>
      <c r="U70" s="19">
        <v>1</v>
      </c>
      <c r="V70" s="19">
        <v>4</v>
      </c>
      <c r="W70" s="19" t="s">
        <v>266</v>
      </c>
      <c r="X70" s="19">
        <v>1</v>
      </c>
      <c r="Y70" s="19">
        <v>3</v>
      </c>
      <c r="Z70" s="19">
        <v>3</v>
      </c>
      <c r="AA70" s="19">
        <v>1</v>
      </c>
      <c r="AB70" s="19">
        <v>2</v>
      </c>
      <c r="AC70" s="19">
        <v>1</v>
      </c>
      <c r="AD70" s="19">
        <v>2</v>
      </c>
      <c r="AE70" s="19" t="s">
        <v>267</v>
      </c>
      <c r="AF70" s="20"/>
    </row>
    <row r="71" spans="1:32" x14ac:dyDescent="0.35">
      <c r="A71" s="13" t="s">
        <v>201</v>
      </c>
      <c r="B71" s="13" t="s">
        <v>20</v>
      </c>
      <c r="C71" s="13">
        <v>7</v>
      </c>
      <c r="D71" s="13">
        <v>3</v>
      </c>
      <c r="E71" s="13">
        <v>0</v>
      </c>
      <c r="F71" s="13">
        <v>2</v>
      </c>
      <c r="G71" s="13">
        <v>3</v>
      </c>
      <c r="H71" s="13">
        <v>2</v>
      </c>
      <c r="I71" s="13">
        <v>1</v>
      </c>
      <c r="J71" s="13"/>
      <c r="K71" s="13">
        <v>2</v>
      </c>
      <c r="L71" s="13">
        <v>2</v>
      </c>
      <c r="M71" s="13">
        <v>1</v>
      </c>
      <c r="N71" s="13"/>
      <c r="O71" s="13">
        <v>4</v>
      </c>
      <c r="P71" s="13">
        <v>1</v>
      </c>
      <c r="Q71" s="13">
        <v>3</v>
      </c>
      <c r="R71" s="13">
        <v>4</v>
      </c>
      <c r="S71" s="13">
        <v>1</v>
      </c>
      <c r="T71" s="13">
        <v>2</v>
      </c>
      <c r="U71" s="13">
        <v>2</v>
      </c>
      <c r="V71" s="13">
        <v>2</v>
      </c>
      <c r="W71" s="13" t="s">
        <v>271</v>
      </c>
      <c r="X71" s="13">
        <v>3</v>
      </c>
      <c r="Y71" s="13">
        <v>3</v>
      </c>
      <c r="Z71" s="13">
        <v>3</v>
      </c>
      <c r="AA71" s="13">
        <v>2</v>
      </c>
      <c r="AB71" s="13">
        <v>3</v>
      </c>
      <c r="AC71" s="13">
        <v>3</v>
      </c>
      <c r="AD71" s="13">
        <v>3</v>
      </c>
      <c r="AE71" s="13"/>
      <c r="AF71" s="14"/>
    </row>
    <row r="72" spans="1:32" x14ac:dyDescent="0.35">
      <c r="A72" s="17" t="s">
        <v>27</v>
      </c>
      <c r="B72" s="17" t="s">
        <v>20</v>
      </c>
      <c r="C72" s="17">
        <v>7</v>
      </c>
      <c r="D72" s="17">
        <v>4</v>
      </c>
      <c r="E72" s="17">
        <v>5</v>
      </c>
      <c r="F72" s="17">
        <v>0</v>
      </c>
      <c r="G72" s="17">
        <v>0</v>
      </c>
      <c r="H72" s="17">
        <v>0</v>
      </c>
      <c r="I72" s="17">
        <v>0</v>
      </c>
      <c r="J72" s="17"/>
      <c r="K72" s="17">
        <v>3</v>
      </c>
      <c r="L72" s="17">
        <v>1</v>
      </c>
      <c r="M72" s="17">
        <v>2</v>
      </c>
      <c r="N72" s="17"/>
      <c r="O72" s="17">
        <v>4</v>
      </c>
      <c r="P72" s="17">
        <v>1</v>
      </c>
      <c r="Q72" s="17">
        <v>1</v>
      </c>
      <c r="R72" s="17">
        <v>5</v>
      </c>
      <c r="S72" s="17">
        <v>1</v>
      </c>
      <c r="T72" s="17">
        <v>1</v>
      </c>
      <c r="U72" s="17">
        <v>1</v>
      </c>
      <c r="V72" s="17">
        <v>1</v>
      </c>
      <c r="W72" s="17" t="s">
        <v>275</v>
      </c>
      <c r="X72" s="17">
        <v>1</v>
      </c>
      <c r="Y72" s="17">
        <v>2</v>
      </c>
      <c r="Z72" s="17">
        <v>2</v>
      </c>
      <c r="AA72" s="17">
        <v>2</v>
      </c>
      <c r="AB72" s="17">
        <v>3</v>
      </c>
      <c r="AC72" s="17">
        <v>4</v>
      </c>
      <c r="AD72" s="17">
        <v>3</v>
      </c>
      <c r="AE72" s="17"/>
      <c r="AF72" s="18" t="s">
        <v>276</v>
      </c>
    </row>
    <row r="73" spans="1:32" x14ac:dyDescent="0.35">
      <c r="A73" s="17" t="s">
        <v>215</v>
      </c>
      <c r="B73" s="17" t="s">
        <v>20</v>
      </c>
      <c r="C73" s="17">
        <v>7</v>
      </c>
      <c r="D73" s="17">
        <v>5</v>
      </c>
      <c r="E73" s="17">
        <v>4</v>
      </c>
      <c r="F73" s="17">
        <v>3</v>
      </c>
      <c r="G73" s="17">
        <v>4</v>
      </c>
      <c r="H73" s="17">
        <v>3</v>
      </c>
      <c r="I73" s="17">
        <v>0</v>
      </c>
      <c r="J73" s="17"/>
      <c r="K73" s="17">
        <v>5</v>
      </c>
      <c r="L73" s="17">
        <v>4</v>
      </c>
      <c r="M73" s="17">
        <v>3</v>
      </c>
      <c r="N73" s="17"/>
      <c r="O73" s="17">
        <v>5</v>
      </c>
      <c r="P73" s="17">
        <v>4</v>
      </c>
      <c r="Q73" s="17">
        <v>4</v>
      </c>
      <c r="R73" s="17">
        <v>5</v>
      </c>
      <c r="S73" s="17">
        <v>3</v>
      </c>
      <c r="T73" s="17">
        <v>4</v>
      </c>
      <c r="U73" s="17">
        <v>4</v>
      </c>
      <c r="V73" s="17">
        <v>5</v>
      </c>
      <c r="W73" s="17"/>
      <c r="X73" s="17">
        <v>5</v>
      </c>
      <c r="Y73" s="17">
        <v>5</v>
      </c>
      <c r="Z73" s="17">
        <v>5</v>
      </c>
      <c r="AA73" s="17">
        <v>5</v>
      </c>
      <c r="AB73" s="17">
        <v>4</v>
      </c>
      <c r="AC73" s="17">
        <v>5</v>
      </c>
      <c r="AD73" s="17">
        <v>5</v>
      </c>
      <c r="AE73" s="17"/>
      <c r="AF73" s="18"/>
    </row>
    <row r="74" spans="1:32" x14ac:dyDescent="0.35">
      <c r="A74" s="19" t="s">
        <v>127</v>
      </c>
      <c r="B74" s="19" t="s">
        <v>20</v>
      </c>
      <c r="C74" s="19">
        <v>7</v>
      </c>
      <c r="D74" s="19">
        <v>1</v>
      </c>
      <c r="E74" s="19">
        <v>1</v>
      </c>
      <c r="F74" s="19">
        <v>1</v>
      </c>
      <c r="G74" s="19">
        <v>1</v>
      </c>
      <c r="H74" s="19">
        <v>1</v>
      </c>
      <c r="I74" s="19">
        <v>1</v>
      </c>
      <c r="J74" s="19" t="s">
        <v>281</v>
      </c>
      <c r="K74" s="19">
        <v>1</v>
      </c>
      <c r="L74" s="19">
        <v>1</v>
      </c>
      <c r="M74" s="19">
        <v>1</v>
      </c>
      <c r="N74" s="19" t="s">
        <v>282</v>
      </c>
      <c r="O74" s="19">
        <v>1</v>
      </c>
      <c r="P74" s="19">
        <v>1</v>
      </c>
      <c r="Q74" s="19">
        <v>1</v>
      </c>
      <c r="R74" s="19">
        <v>1</v>
      </c>
      <c r="S74" s="19">
        <v>1</v>
      </c>
      <c r="T74" s="19">
        <v>1</v>
      </c>
      <c r="U74" s="19">
        <v>1</v>
      </c>
      <c r="V74" s="19">
        <v>1</v>
      </c>
      <c r="W74" s="19" t="s">
        <v>283</v>
      </c>
      <c r="X74" s="19">
        <v>1</v>
      </c>
      <c r="Y74" s="19">
        <v>5</v>
      </c>
      <c r="Z74" s="19">
        <v>1</v>
      </c>
      <c r="AA74" s="19">
        <v>1</v>
      </c>
      <c r="AB74" s="19">
        <v>1</v>
      </c>
      <c r="AC74" s="19">
        <v>1</v>
      </c>
      <c r="AD74" s="19">
        <v>1</v>
      </c>
      <c r="AE74" s="19" t="s">
        <v>284</v>
      </c>
      <c r="AF74" s="20" t="s">
        <v>285</v>
      </c>
    </row>
    <row r="75" spans="1:32" x14ac:dyDescent="0.3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6"/>
    </row>
    <row r="76" spans="1:32" s="29" customFormat="1" ht="13.15" x14ac:dyDescent="0.4">
      <c r="A76" s="28" t="s">
        <v>295</v>
      </c>
      <c r="D76" s="30">
        <f>AVERAGE(D56:D75)</f>
        <v>3.4210526315789473</v>
      </c>
      <c r="E76" s="30">
        <f t="shared" ref="E76:AC76" si="3">AVERAGE(E56:E75)</f>
        <v>3.0526315789473686</v>
      </c>
      <c r="F76" s="30">
        <f t="shared" si="3"/>
        <v>2.3684210526315788</v>
      </c>
      <c r="G76" s="30">
        <f t="shared" si="3"/>
        <v>2.263157894736842</v>
      </c>
      <c r="H76" s="30">
        <f t="shared" si="3"/>
        <v>1.2894736842105263</v>
      </c>
      <c r="I76" s="30">
        <f t="shared" si="3"/>
        <v>0.63157894736842102</v>
      </c>
      <c r="J76" s="30"/>
      <c r="K76" s="30">
        <f t="shared" si="3"/>
        <v>1.8421052631578947</v>
      </c>
      <c r="L76" s="30">
        <f t="shared" si="3"/>
        <v>1.9473684210526316</v>
      </c>
      <c r="M76" s="30">
        <f t="shared" si="3"/>
        <v>2.6315789473684212</v>
      </c>
      <c r="N76" s="30"/>
      <c r="O76" s="30">
        <f t="shared" si="3"/>
        <v>4.1052631578947372</v>
      </c>
      <c r="P76" s="30">
        <f t="shared" si="3"/>
        <v>2.7894736842105261</v>
      </c>
      <c r="Q76" s="30">
        <f t="shared" si="3"/>
        <v>3.3157894736842106</v>
      </c>
      <c r="R76" s="30">
        <f t="shared" si="3"/>
        <v>3.1052631578947367</v>
      </c>
      <c r="S76" s="30">
        <f t="shared" si="3"/>
        <v>1.9473684210526316</v>
      </c>
      <c r="T76" s="30">
        <f t="shared" si="3"/>
        <v>1.5263157894736843</v>
      </c>
      <c r="U76" s="30">
        <f t="shared" si="3"/>
        <v>1.8421052631578947</v>
      </c>
      <c r="V76" s="30">
        <f t="shared" si="3"/>
        <v>2.5789473684210527</v>
      </c>
      <c r="W76" s="30"/>
      <c r="X76" s="30">
        <f t="shared" si="3"/>
        <v>2.6842105263157894</v>
      </c>
      <c r="Y76" s="30">
        <f t="shared" si="3"/>
        <v>3.5789473684210527</v>
      </c>
      <c r="Z76" s="30">
        <f t="shared" si="3"/>
        <v>3.4210526315789473</v>
      </c>
      <c r="AA76" s="30">
        <f t="shared" si="3"/>
        <v>2.3947368421052633</v>
      </c>
      <c r="AB76" s="30">
        <f t="shared" si="3"/>
        <v>2.5263157894736841</v>
      </c>
      <c r="AC76" s="30">
        <f t="shared" si="3"/>
        <v>2.736842105263158</v>
      </c>
      <c r="AD76" s="30">
        <f>AVERAGE(AD56:AD75)</f>
        <v>2.6315789473684212</v>
      </c>
      <c r="AE76" s="30"/>
      <c r="AF76" s="30"/>
    </row>
  </sheetData>
  <autoFilter ref="A1:AF33" xr:uid="{6544942C-7EF9-4B6E-B3A0-B1DD88B844F7}"/>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1A6EF-8F7C-4FAB-8764-BA6022D8530B}">
  <dimension ref="A1:AA12"/>
  <sheetViews>
    <sheetView topLeftCell="A6" zoomScaleNormal="100" workbookViewId="0">
      <selection activeCell="F12" sqref="F12"/>
    </sheetView>
  </sheetViews>
  <sheetFormatPr baseColWidth="10" defaultRowHeight="12.75" x14ac:dyDescent="0.35"/>
  <cols>
    <col min="1" max="1" width="20.6640625" bestFit="1" customWidth="1"/>
  </cols>
  <sheetData>
    <row r="1" spans="1:27" ht="51" x14ac:dyDescent="0.35">
      <c r="A1" s="10" t="s">
        <v>307</v>
      </c>
      <c r="B1" s="21" t="s">
        <v>296</v>
      </c>
      <c r="C1" s="21" t="s">
        <v>292</v>
      </c>
      <c r="D1" s="21" t="s">
        <v>293</v>
      </c>
      <c r="E1" s="21" t="s">
        <v>47</v>
      </c>
      <c r="F1" s="22" t="s">
        <v>288</v>
      </c>
      <c r="G1" s="22" t="s">
        <v>289</v>
      </c>
      <c r="H1" s="22" t="s">
        <v>37</v>
      </c>
      <c r="I1" s="22" t="s">
        <v>290</v>
      </c>
      <c r="J1" s="22" t="s">
        <v>291</v>
      </c>
      <c r="K1" s="10" t="s">
        <v>307</v>
      </c>
      <c r="L1" s="21" t="s">
        <v>294</v>
      </c>
      <c r="M1" s="21" t="s">
        <v>292</v>
      </c>
      <c r="N1" s="21" t="s">
        <v>293</v>
      </c>
      <c r="O1" s="21" t="s">
        <v>47</v>
      </c>
      <c r="P1" s="22" t="s">
        <v>288</v>
      </c>
      <c r="Q1" s="22" t="s">
        <v>37</v>
      </c>
      <c r="R1" s="22" t="s">
        <v>290</v>
      </c>
      <c r="S1" s="22" t="s">
        <v>291</v>
      </c>
      <c r="T1" s="10" t="s">
        <v>307</v>
      </c>
      <c r="U1" s="11" t="s">
        <v>299</v>
      </c>
      <c r="V1" s="22" t="s">
        <v>297</v>
      </c>
      <c r="W1" s="22" t="s">
        <v>287</v>
      </c>
      <c r="X1" s="22" t="s">
        <v>298</v>
      </c>
      <c r="Y1" s="32" t="s">
        <v>300</v>
      </c>
      <c r="Z1" s="32" t="s">
        <v>301</v>
      </c>
      <c r="AA1" s="32" t="s">
        <v>302</v>
      </c>
    </row>
    <row r="2" spans="1:27" ht="13.15" x14ac:dyDescent="0.4">
      <c r="A2" s="27" t="s">
        <v>306</v>
      </c>
      <c r="K2" s="27" t="s">
        <v>306</v>
      </c>
      <c r="T2" s="27" t="s">
        <v>306</v>
      </c>
    </row>
    <row r="3" spans="1:27" s="35" customFormat="1" x14ac:dyDescent="0.35">
      <c r="A3" s="35" t="s">
        <v>303</v>
      </c>
      <c r="B3" s="36">
        <v>2.225806451612903</v>
      </c>
      <c r="C3" s="36">
        <v>1.1935483870967742</v>
      </c>
      <c r="D3" s="36">
        <v>1.064516129032258</v>
      </c>
      <c r="E3" s="36">
        <v>1.6451612903225807</v>
      </c>
      <c r="F3" s="36">
        <v>0.90322580645161288</v>
      </c>
      <c r="G3" s="36">
        <v>0.64516129032258063</v>
      </c>
      <c r="H3" s="36">
        <v>2.225806451612903</v>
      </c>
      <c r="I3" s="36">
        <v>1.8387096774193548</v>
      </c>
      <c r="J3" s="36">
        <v>2.096774193548387</v>
      </c>
      <c r="K3" s="35" t="s">
        <v>303</v>
      </c>
      <c r="L3" s="36">
        <v>2.129032258064516</v>
      </c>
      <c r="M3" s="36">
        <v>2.193548387096774</v>
      </c>
      <c r="N3" s="36">
        <v>1.8709677419354838</v>
      </c>
      <c r="O3" s="36">
        <v>2.193548387096774</v>
      </c>
      <c r="P3" s="36">
        <v>1.5806451612903225</v>
      </c>
      <c r="Q3" s="36">
        <v>2.4516129032258065</v>
      </c>
      <c r="R3" s="36">
        <v>1.903225806451613</v>
      </c>
      <c r="S3" s="36">
        <v>1.6451612903225807</v>
      </c>
      <c r="T3" s="35" t="s">
        <v>303</v>
      </c>
      <c r="U3" s="36">
        <v>2.5806451612903225</v>
      </c>
      <c r="V3" s="36">
        <v>2.5483870967741935</v>
      </c>
      <c r="W3" s="36">
        <v>1.4193548387096775</v>
      </c>
      <c r="X3" s="36">
        <v>1.7419354838709677</v>
      </c>
      <c r="Y3" s="36">
        <v>3.5806451612903225</v>
      </c>
      <c r="Z3" s="36">
        <v>2.774193548387097</v>
      </c>
      <c r="AA3" s="36">
        <v>3.225806451612903</v>
      </c>
    </row>
    <row r="4" spans="1:27" s="35" customFormat="1" x14ac:dyDescent="0.35">
      <c r="A4" s="35" t="s">
        <v>304</v>
      </c>
      <c r="B4" s="36">
        <v>2.7</v>
      </c>
      <c r="C4" s="36">
        <v>1.1333333333333333</v>
      </c>
      <c r="D4" s="36">
        <v>1.3333333333333333</v>
      </c>
      <c r="E4" s="36">
        <v>2.15</v>
      </c>
      <c r="F4" s="36">
        <v>1.1166666666666667</v>
      </c>
      <c r="G4" s="36">
        <v>0.56666666666666665</v>
      </c>
      <c r="H4" s="36">
        <v>2.2666666666666666</v>
      </c>
      <c r="I4" s="36">
        <v>2.5333333333333332</v>
      </c>
      <c r="J4" s="36">
        <v>1.8833333333333333</v>
      </c>
      <c r="K4" s="35" t="s">
        <v>304</v>
      </c>
      <c r="L4" s="36">
        <v>2.7333333333333334</v>
      </c>
      <c r="M4" s="36">
        <v>1.9</v>
      </c>
      <c r="N4" s="36">
        <v>2</v>
      </c>
      <c r="O4" s="36">
        <v>2.7666666666666666</v>
      </c>
      <c r="P4" s="36">
        <v>2.1666666666666665</v>
      </c>
      <c r="Q4" s="36">
        <v>1.9</v>
      </c>
      <c r="R4" s="36">
        <v>2.5333333333333332</v>
      </c>
      <c r="S4" s="36">
        <v>2.0333333333333332</v>
      </c>
      <c r="T4" s="35" t="s">
        <v>304</v>
      </c>
      <c r="U4" s="36">
        <v>3.1333333333333333</v>
      </c>
      <c r="V4" s="36">
        <v>2.7333333333333334</v>
      </c>
      <c r="W4" s="36">
        <v>2</v>
      </c>
      <c r="X4" s="36">
        <v>1.8666666666666667</v>
      </c>
      <c r="Y4" s="36">
        <v>3.0333333333333332</v>
      </c>
      <c r="Z4" s="36">
        <v>3.1333333333333333</v>
      </c>
      <c r="AA4" s="36">
        <v>3.1666666666666665</v>
      </c>
    </row>
    <row r="5" spans="1:27" s="35" customFormat="1" x14ac:dyDescent="0.35">
      <c r="A5" s="35" t="s">
        <v>305</v>
      </c>
      <c r="B5" s="36">
        <v>2.4166666666666665</v>
      </c>
      <c r="C5" s="36">
        <v>1.25</v>
      </c>
      <c r="D5" s="36">
        <v>1.1333333333333333</v>
      </c>
      <c r="E5" s="36">
        <v>1.8</v>
      </c>
      <c r="F5" s="36">
        <v>0.8666666666666667</v>
      </c>
      <c r="G5" s="36">
        <v>0.7</v>
      </c>
      <c r="H5" s="36">
        <v>2.2666666666666666</v>
      </c>
      <c r="I5" s="36">
        <v>1.9666666666666666</v>
      </c>
      <c r="J5" s="36">
        <v>2.0666666666666669</v>
      </c>
      <c r="K5" s="35" t="s">
        <v>305</v>
      </c>
      <c r="L5" s="36">
        <v>2.5333333333333332</v>
      </c>
      <c r="M5" s="36">
        <v>2.0666666666666669</v>
      </c>
      <c r="N5" s="36">
        <v>1.7666666666666666</v>
      </c>
      <c r="O5" s="36">
        <v>2.2999999999999998</v>
      </c>
      <c r="P5" s="36">
        <v>1.7</v>
      </c>
      <c r="Q5" s="36">
        <v>1.9833333333333334</v>
      </c>
      <c r="R5" s="36">
        <v>1.9666666666666666</v>
      </c>
      <c r="S5" s="36">
        <v>2.1666666666666665</v>
      </c>
      <c r="T5" s="35" t="s">
        <v>305</v>
      </c>
      <c r="U5" s="36">
        <v>2.8666666666666667</v>
      </c>
      <c r="V5" s="36">
        <v>2.2000000000000002</v>
      </c>
      <c r="W5" s="36">
        <v>1.6</v>
      </c>
      <c r="X5" s="36">
        <v>1.7666666666666666</v>
      </c>
      <c r="Y5" s="36">
        <v>3.3</v>
      </c>
      <c r="Z5" s="36">
        <v>3.1</v>
      </c>
      <c r="AA5" s="36">
        <v>3.2333333333333334</v>
      </c>
    </row>
    <row r="6" spans="1:27" s="35" customFormat="1" x14ac:dyDescent="0.35">
      <c r="A6" s="35" t="s">
        <v>308</v>
      </c>
      <c r="B6" s="36">
        <v>2.6</v>
      </c>
      <c r="C6" s="36">
        <v>1.5166666666666666</v>
      </c>
      <c r="D6" s="36">
        <v>1.2</v>
      </c>
      <c r="E6" s="36">
        <v>2.0833333333333335</v>
      </c>
      <c r="F6" s="36">
        <v>1.2166666666666666</v>
      </c>
      <c r="G6" s="36">
        <v>0.9</v>
      </c>
      <c r="H6" s="36">
        <v>2.4333333333333331</v>
      </c>
      <c r="I6" s="36">
        <v>2.1333333333333333</v>
      </c>
      <c r="J6" s="36">
        <v>1.9333333333333333</v>
      </c>
      <c r="K6" s="35" t="s">
        <v>308</v>
      </c>
      <c r="L6" s="36">
        <v>3.3333333333333335</v>
      </c>
      <c r="M6" s="36">
        <v>2.3666666666666667</v>
      </c>
      <c r="N6" s="36">
        <v>2.5</v>
      </c>
      <c r="O6" s="36">
        <v>3.2666666666666666</v>
      </c>
      <c r="P6" s="36">
        <v>1.8333333333333333</v>
      </c>
      <c r="Q6" s="36">
        <v>2.2666666666666666</v>
      </c>
      <c r="R6" s="36">
        <v>2.2999999999999998</v>
      </c>
      <c r="S6" s="36">
        <v>2.2000000000000002</v>
      </c>
      <c r="T6" s="35" t="s">
        <v>308</v>
      </c>
      <c r="U6" s="36">
        <v>2.9666666666666668</v>
      </c>
      <c r="V6" s="36">
        <v>3.3</v>
      </c>
      <c r="W6" s="36">
        <v>2.7</v>
      </c>
      <c r="X6" s="36">
        <v>2.8333333333333335</v>
      </c>
      <c r="Y6" s="36">
        <v>3.0666666666666669</v>
      </c>
      <c r="Z6" s="36">
        <v>2.9666666666666668</v>
      </c>
      <c r="AA6" s="36">
        <v>3.1333333333333333</v>
      </c>
    </row>
    <row r="7" spans="1:27" ht="13.15" x14ac:dyDescent="0.4">
      <c r="A7" s="27"/>
      <c r="K7" s="27"/>
      <c r="T7" s="27"/>
    </row>
    <row r="8" spans="1:27" s="35" customFormat="1" x14ac:dyDescent="0.35">
      <c r="B8" s="36"/>
      <c r="C8" s="36"/>
      <c r="D8" s="36"/>
      <c r="E8" s="36"/>
      <c r="F8" s="36"/>
      <c r="G8" s="36"/>
      <c r="H8" s="36"/>
      <c r="I8" s="36"/>
      <c r="J8" s="36"/>
      <c r="L8" s="36"/>
      <c r="M8" s="36"/>
      <c r="N8" s="36"/>
      <c r="O8" s="36"/>
      <c r="P8" s="36"/>
      <c r="Q8" s="36"/>
      <c r="R8" s="36"/>
      <c r="S8" s="36"/>
      <c r="U8" s="36"/>
      <c r="V8" s="36"/>
      <c r="W8" s="36"/>
      <c r="X8" s="36"/>
      <c r="Y8" s="36"/>
      <c r="Z8" s="36"/>
      <c r="AA8" s="36"/>
    </row>
    <row r="9" spans="1:27" s="35" customFormat="1" x14ac:dyDescent="0.35">
      <c r="B9" s="36"/>
      <c r="C9" s="36"/>
      <c r="D9" s="36"/>
      <c r="E9" s="36"/>
      <c r="F9" s="36"/>
      <c r="G9" s="36"/>
      <c r="H9" s="36"/>
      <c r="I9" s="36"/>
      <c r="J9" s="36"/>
      <c r="L9" s="36"/>
      <c r="M9" s="36"/>
      <c r="N9" s="36"/>
      <c r="O9" s="36"/>
      <c r="P9" s="36"/>
      <c r="Q9" s="36"/>
      <c r="R9" s="36"/>
      <c r="S9" s="36"/>
      <c r="U9" s="36"/>
      <c r="V9" s="36"/>
      <c r="W9" s="36"/>
      <c r="X9" s="36"/>
      <c r="Y9" s="36"/>
      <c r="Z9" s="36"/>
      <c r="AA9" s="36"/>
    </row>
    <row r="10" spans="1:27" s="35" customFormat="1" x14ac:dyDescent="0.35">
      <c r="B10" s="36"/>
      <c r="C10" s="36"/>
      <c r="D10" s="36"/>
      <c r="E10" s="36"/>
      <c r="F10" s="36"/>
      <c r="G10" s="36"/>
      <c r="H10" s="36"/>
      <c r="I10" s="36"/>
      <c r="J10" s="36"/>
      <c r="L10" s="36"/>
      <c r="M10" s="36"/>
      <c r="N10" s="36"/>
      <c r="O10" s="36"/>
      <c r="P10" s="36"/>
      <c r="Q10" s="36"/>
      <c r="R10" s="36"/>
      <c r="S10" s="36"/>
      <c r="U10" s="36"/>
      <c r="V10" s="36"/>
      <c r="W10" s="36"/>
      <c r="X10" s="36"/>
      <c r="Y10" s="36"/>
      <c r="Z10" s="36"/>
      <c r="AA10" s="36"/>
    </row>
    <row r="11" spans="1:27" s="35" customFormat="1" x14ac:dyDescent="0.35">
      <c r="B11" s="36"/>
      <c r="C11" s="36"/>
      <c r="D11" s="36"/>
      <c r="E11" s="36"/>
      <c r="F11" s="36"/>
      <c r="G11" s="36"/>
      <c r="H11" s="36"/>
      <c r="I11" s="36"/>
      <c r="J11" s="36"/>
      <c r="L11" s="36"/>
      <c r="M11" s="36"/>
      <c r="N11" s="36"/>
      <c r="O11" s="36"/>
      <c r="P11" s="36"/>
      <c r="Q11" s="36"/>
      <c r="R11" s="36"/>
      <c r="S11" s="36"/>
      <c r="U11" s="36"/>
      <c r="V11" s="36"/>
      <c r="W11" s="36"/>
      <c r="X11" s="36"/>
      <c r="Y11" s="36"/>
      <c r="Z11" s="36"/>
      <c r="AA11" s="36"/>
    </row>
    <row r="12" spans="1:27" x14ac:dyDescent="0.35">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C2973-A35C-4E38-878E-CB05EB95518A}">
  <dimension ref="A1:AA12"/>
  <sheetViews>
    <sheetView zoomScale="57" zoomScaleNormal="57" workbookViewId="0">
      <selection activeCell="Z24" sqref="Z24"/>
    </sheetView>
  </sheetViews>
  <sheetFormatPr baseColWidth="10" defaultRowHeight="12.75" x14ac:dyDescent="0.35"/>
  <cols>
    <col min="1" max="1" width="20.6640625" bestFit="1" customWidth="1"/>
  </cols>
  <sheetData>
    <row r="1" spans="1:27" ht="51" x14ac:dyDescent="0.35">
      <c r="A1" s="10" t="s">
        <v>307</v>
      </c>
      <c r="B1" s="21" t="s">
        <v>296</v>
      </c>
      <c r="C1" s="21" t="s">
        <v>292</v>
      </c>
      <c r="D1" s="21" t="s">
        <v>293</v>
      </c>
      <c r="E1" s="21" t="s">
        <v>47</v>
      </c>
      <c r="F1" s="22" t="s">
        <v>288</v>
      </c>
      <c r="G1" s="22" t="s">
        <v>289</v>
      </c>
      <c r="H1" s="22" t="s">
        <v>37</v>
      </c>
      <c r="I1" s="22" t="s">
        <v>290</v>
      </c>
      <c r="J1" s="22" t="s">
        <v>291</v>
      </c>
      <c r="K1" s="10" t="s">
        <v>307</v>
      </c>
      <c r="L1" s="21" t="s">
        <v>294</v>
      </c>
      <c r="M1" s="21" t="s">
        <v>292</v>
      </c>
      <c r="N1" s="21" t="s">
        <v>293</v>
      </c>
      <c r="O1" s="21" t="s">
        <v>47</v>
      </c>
      <c r="P1" s="22" t="s">
        <v>288</v>
      </c>
      <c r="Q1" s="22" t="s">
        <v>37</v>
      </c>
      <c r="R1" s="22" t="s">
        <v>290</v>
      </c>
      <c r="S1" s="22" t="s">
        <v>291</v>
      </c>
      <c r="T1" s="10" t="s">
        <v>307</v>
      </c>
      <c r="U1" s="11" t="s">
        <v>299</v>
      </c>
      <c r="V1" s="22" t="s">
        <v>297</v>
      </c>
      <c r="W1" s="22" t="s">
        <v>287</v>
      </c>
      <c r="X1" s="22" t="s">
        <v>298</v>
      </c>
      <c r="Y1" s="32" t="s">
        <v>300</v>
      </c>
      <c r="Z1" s="32" t="s">
        <v>301</v>
      </c>
      <c r="AA1" s="32" t="s">
        <v>302</v>
      </c>
    </row>
    <row r="2" spans="1:27" ht="13.15" x14ac:dyDescent="0.4">
      <c r="A2" s="27" t="s">
        <v>306</v>
      </c>
      <c r="K2" s="27" t="s">
        <v>306</v>
      </c>
      <c r="T2" s="27" t="s">
        <v>306</v>
      </c>
    </row>
    <row r="3" spans="1:27" s="35" customFormat="1" x14ac:dyDescent="0.35">
      <c r="A3" s="35" t="s">
        <v>303</v>
      </c>
      <c r="B3" s="36">
        <v>2.225806451612903</v>
      </c>
      <c r="C3" s="36">
        <v>1.1935483870967742</v>
      </c>
      <c r="D3" s="36">
        <v>1.064516129032258</v>
      </c>
      <c r="E3" s="36">
        <v>1.6451612903225807</v>
      </c>
      <c r="F3" s="36">
        <v>0.90322580645161288</v>
      </c>
      <c r="G3" s="36">
        <v>0.64516129032258063</v>
      </c>
      <c r="H3" s="36">
        <v>2.225806451612903</v>
      </c>
      <c r="I3" s="36">
        <v>1.8387096774193548</v>
      </c>
      <c r="J3" s="36">
        <v>2.096774193548387</v>
      </c>
      <c r="K3" s="35" t="s">
        <v>303</v>
      </c>
      <c r="L3" s="36">
        <v>2.129032258064516</v>
      </c>
      <c r="M3" s="36">
        <v>2.193548387096774</v>
      </c>
      <c r="N3" s="36">
        <v>1.8709677419354838</v>
      </c>
      <c r="O3" s="36">
        <v>2.193548387096774</v>
      </c>
      <c r="P3" s="36">
        <v>1.5806451612903225</v>
      </c>
      <c r="Q3" s="36">
        <v>2.4516129032258065</v>
      </c>
      <c r="R3" s="36">
        <v>1.903225806451613</v>
      </c>
      <c r="S3" s="36">
        <v>1.6451612903225807</v>
      </c>
      <c r="T3" s="35" t="s">
        <v>303</v>
      </c>
      <c r="U3" s="36">
        <v>2.5806451612903225</v>
      </c>
      <c r="V3" s="36">
        <v>2.5483870967741935</v>
      </c>
      <c r="W3" s="36">
        <v>1.4193548387096775</v>
      </c>
      <c r="X3" s="36">
        <v>1.7419354838709677</v>
      </c>
      <c r="Y3" s="36">
        <v>3.5806451612903225</v>
      </c>
      <c r="Z3" s="36">
        <v>2.774193548387097</v>
      </c>
      <c r="AA3" s="36">
        <v>3.225806451612903</v>
      </c>
    </row>
    <row r="4" spans="1:27" s="35" customFormat="1" x14ac:dyDescent="0.35">
      <c r="A4" s="35" t="s">
        <v>304</v>
      </c>
      <c r="B4" s="36">
        <v>2.7</v>
      </c>
      <c r="C4" s="36">
        <v>1.1333333333333333</v>
      </c>
      <c r="D4" s="36">
        <v>1.3333333333333333</v>
      </c>
      <c r="E4" s="36">
        <v>2.15</v>
      </c>
      <c r="F4" s="36">
        <v>1.1166666666666667</v>
      </c>
      <c r="G4" s="36">
        <v>0.56666666666666665</v>
      </c>
      <c r="H4" s="36">
        <v>2.2666666666666666</v>
      </c>
      <c r="I4" s="36">
        <v>2.5333333333333332</v>
      </c>
      <c r="J4" s="36">
        <v>1.8833333333333333</v>
      </c>
      <c r="K4" s="35" t="s">
        <v>304</v>
      </c>
      <c r="L4" s="36">
        <v>2.7333333333333334</v>
      </c>
      <c r="M4" s="36">
        <v>1.9</v>
      </c>
      <c r="N4" s="36">
        <v>2</v>
      </c>
      <c r="O4" s="36">
        <v>2.7666666666666666</v>
      </c>
      <c r="P4" s="36">
        <v>2.1666666666666665</v>
      </c>
      <c r="Q4" s="36">
        <v>1.9</v>
      </c>
      <c r="R4" s="36">
        <v>2.5333333333333332</v>
      </c>
      <c r="S4" s="36">
        <v>2.0333333333333332</v>
      </c>
      <c r="T4" s="35" t="s">
        <v>304</v>
      </c>
      <c r="U4" s="36">
        <v>3.1333333333333333</v>
      </c>
      <c r="V4" s="36">
        <v>2.7333333333333334</v>
      </c>
      <c r="W4" s="36">
        <v>2</v>
      </c>
      <c r="X4" s="36">
        <v>1.8666666666666667</v>
      </c>
      <c r="Y4" s="36">
        <v>3.0333333333333332</v>
      </c>
      <c r="Z4" s="36">
        <v>3.1333333333333333</v>
      </c>
      <c r="AA4" s="36">
        <v>3.1666666666666665</v>
      </c>
    </row>
    <row r="5" spans="1:27" s="35" customFormat="1" x14ac:dyDescent="0.35">
      <c r="A5" s="35" t="s">
        <v>305</v>
      </c>
      <c r="B5" s="36">
        <v>2.4166666666666665</v>
      </c>
      <c r="C5" s="36">
        <v>1.25</v>
      </c>
      <c r="D5" s="36">
        <v>1.1333333333333333</v>
      </c>
      <c r="E5" s="36">
        <v>1.8</v>
      </c>
      <c r="F5" s="36">
        <v>0.8666666666666667</v>
      </c>
      <c r="G5" s="36">
        <v>0.7</v>
      </c>
      <c r="H5" s="36">
        <v>2.2666666666666666</v>
      </c>
      <c r="I5" s="36">
        <v>1.9666666666666666</v>
      </c>
      <c r="J5" s="36">
        <v>2.0666666666666669</v>
      </c>
      <c r="K5" s="35" t="s">
        <v>305</v>
      </c>
      <c r="L5" s="36">
        <v>2.5333333333333332</v>
      </c>
      <c r="M5" s="36">
        <v>2.0666666666666669</v>
      </c>
      <c r="N5" s="36">
        <v>1.7666666666666666</v>
      </c>
      <c r="O5" s="36">
        <v>2.2999999999999998</v>
      </c>
      <c r="P5" s="36">
        <v>1.7</v>
      </c>
      <c r="Q5" s="36">
        <v>1.9833333333333334</v>
      </c>
      <c r="R5" s="36">
        <v>1.9666666666666666</v>
      </c>
      <c r="S5" s="36">
        <v>2.1666666666666665</v>
      </c>
      <c r="T5" s="35" t="s">
        <v>305</v>
      </c>
      <c r="U5" s="36">
        <v>2.8666666666666667</v>
      </c>
      <c r="V5" s="36">
        <v>2.2000000000000002</v>
      </c>
      <c r="W5" s="36">
        <v>1.6</v>
      </c>
      <c r="X5" s="36">
        <v>1.7666666666666666</v>
      </c>
      <c r="Y5" s="36">
        <v>3.3</v>
      </c>
      <c r="Z5" s="36">
        <v>3.1</v>
      </c>
      <c r="AA5" s="36">
        <v>3.2333333333333334</v>
      </c>
    </row>
    <row r="6" spans="1:27" s="35" customFormat="1" x14ac:dyDescent="0.35">
      <c r="A6" s="35" t="s">
        <v>308</v>
      </c>
      <c r="B6" s="36">
        <v>2.6</v>
      </c>
      <c r="C6" s="36">
        <v>1.5166666666666666</v>
      </c>
      <c r="D6" s="36">
        <v>1.2</v>
      </c>
      <c r="E6" s="36">
        <v>2.0833333333333335</v>
      </c>
      <c r="F6" s="36">
        <v>1.2166666666666666</v>
      </c>
      <c r="G6" s="36">
        <v>0.9</v>
      </c>
      <c r="H6" s="36">
        <v>2.4333333333333331</v>
      </c>
      <c r="I6" s="36">
        <v>2.1333333333333333</v>
      </c>
      <c r="J6" s="36">
        <v>1.9333333333333333</v>
      </c>
      <c r="K6" s="35" t="s">
        <v>308</v>
      </c>
      <c r="L6" s="36">
        <v>3.3333333333333335</v>
      </c>
      <c r="M6" s="36">
        <v>2.3666666666666667</v>
      </c>
      <c r="N6" s="36">
        <v>2.5</v>
      </c>
      <c r="O6" s="36">
        <v>3.2666666666666666</v>
      </c>
      <c r="P6" s="36">
        <v>1.8333333333333333</v>
      </c>
      <c r="Q6" s="36">
        <v>2.2666666666666666</v>
      </c>
      <c r="R6" s="36">
        <v>2.2999999999999998</v>
      </c>
      <c r="S6" s="36">
        <v>2.2000000000000002</v>
      </c>
      <c r="T6" s="35" t="s">
        <v>308</v>
      </c>
      <c r="U6" s="36">
        <v>2.9666666666666668</v>
      </c>
      <c r="V6" s="36">
        <v>3.3</v>
      </c>
      <c r="W6" s="36">
        <v>2.7</v>
      </c>
      <c r="X6" s="36">
        <v>2.8333333333333335</v>
      </c>
      <c r="Y6" s="36">
        <v>3.0666666666666669</v>
      </c>
      <c r="Z6" s="36">
        <v>2.9666666666666668</v>
      </c>
      <c r="AA6" s="36">
        <v>3.1333333333333333</v>
      </c>
    </row>
    <row r="7" spans="1:27" ht="13.15" x14ac:dyDescent="0.4">
      <c r="A7" s="27"/>
      <c r="K7" s="27"/>
      <c r="T7" s="27"/>
    </row>
    <row r="8" spans="1:27" s="35" customFormat="1" x14ac:dyDescent="0.35">
      <c r="B8" s="36"/>
      <c r="C8" s="36"/>
      <c r="D8" s="36"/>
      <c r="E8" s="36"/>
      <c r="F8" s="36"/>
      <c r="G8" s="36"/>
      <c r="H8" s="36"/>
      <c r="I8" s="36"/>
      <c r="J8" s="36"/>
      <c r="L8" s="36"/>
      <c r="M8" s="36"/>
      <c r="N8" s="36"/>
      <c r="O8" s="36"/>
      <c r="P8" s="36"/>
      <c r="Q8" s="36"/>
      <c r="R8" s="36"/>
      <c r="S8" s="36"/>
      <c r="U8" s="36"/>
      <c r="V8" s="36"/>
      <c r="W8" s="36"/>
      <c r="X8" s="36"/>
      <c r="Y8" s="36"/>
      <c r="Z8" s="36"/>
      <c r="AA8" s="36"/>
    </row>
    <row r="9" spans="1:27" s="35" customFormat="1" x14ac:dyDescent="0.35">
      <c r="B9" s="36"/>
      <c r="C9" s="36"/>
      <c r="D9" s="36"/>
      <c r="E9" s="36"/>
      <c r="F9" s="36"/>
      <c r="G9" s="36"/>
      <c r="H9" s="36"/>
      <c r="I9" s="36"/>
      <c r="J9" s="36"/>
      <c r="L9" s="36"/>
      <c r="M9" s="36"/>
      <c r="N9" s="36"/>
      <c r="O9" s="36"/>
      <c r="P9" s="36"/>
      <c r="Q9" s="36"/>
      <c r="R9" s="36"/>
      <c r="S9" s="36"/>
      <c r="U9" s="36"/>
      <c r="V9" s="36"/>
      <c r="W9" s="36"/>
      <c r="X9" s="36"/>
      <c r="Y9" s="36"/>
      <c r="Z9" s="36"/>
      <c r="AA9" s="36"/>
    </row>
    <row r="10" spans="1:27" s="35" customFormat="1" x14ac:dyDescent="0.35">
      <c r="B10" s="36"/>
      <c r="C10" s="36"/>
      <c r="D10" s="36"/>
      <c r="E10" s="36"/>
      <c r="F10" s="36"/>
      <c r="G10" s="36"/>
      <c r="H10" s="36"/>
      <c r="I10" s="36"/>
      <c r="J10" s="36"/>
      <c r="L10" s="36"/>
      <c r="M10" s="36"/>
      <c r="N10" s="36"/>
      <c r="O10" s="36"/>
      <c r="P10" s="36"/>
      <c r="Q10" s="36"/>
      <c r="R10" s="36"/>
      <c r="S10" s="36"/>
      <c r="U10" s="36"/>
      <c r="V10" s="36"/>
      <c r="W10" s="36"/>
      <c r="X10" s="36"/>
      <c r="Y10" s="36"/>
      <c r="Z10" s="36"/>
      <c r="AA10" s="36"/>
    </row>
    <row r="11" spans="1:27" s="35" customFormat="1" x14ac:dyDescent="0.35">
      <c r="B11" s="36"/>
      <c r="C11" s="36"/>
      <c r="D11" s="36"/>
      <c r="E11" s="36"/>
      <c r="F11" s="36"/>
      <c r="G11" s="36"/>
      <c r="H11" s="36"/>
      <c r="I11" s="36"/>
      <c r="J11" s="36"/>
      <c r="L11" s="36"/>
      <c r="M11" s="36"/>
      <c r="N11" s="36"/>
      <c r="O11" s="36"/>
      <c r="P11" s="36"/>
      <c r="Q11" s="36"/>
      <c r="R11" s="36"/>
      <c r="S11" s="36"/>
      <c r="U11" s="36"/>
      <c r="V11" s="36"/>
      <c r="W11" s="36"/>
      <c r="X11" s="36"/>
      <c r="Y11" s="36"/>
      <c r="Z11" s="36"/>
      <c r="AA11" s="36"/>
    </row>
    <row r="12" spans="1:27" x14ac:dyDescent="0.35">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Respuestas de formulario 1</vt:lpstr>
      <vt:lpstr>Muestra 1</vt:lpstr>
      <vt:lpstr>Muestra 2</vt:lpstr>
      <vt:lpstr>Muestra 3</vt:lpstr>
      <vt:lpstr>Muestra 4</vt:lpstr>
      <vt:lpstr>Muestra 7</vt:lpstr>
      <vt:lpstr>Comparación</vt:lpstr>
      <vt:lpstr>Comparación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Alexandra Navarro Calderon</cp:lastModifiedBy>
  <dcterms:modified xsi:type="dcterms:W3CDTF">2026-05-20T02:52:43Z</dcterms:modified>
</cp:coreProperties>
</file>