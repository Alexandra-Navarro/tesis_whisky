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cocubillos/Dropbox/People/Manuel_Villalobos/Alexandra_Navarro/Catas/"/>
    </mc:Choice>
  </mc:AlternateContent>
  <xr:revisionPtr revIDLastSave="0" documentId="8_{4DE14CCB-AF83-5947-B7E5-3B93089C3A96}" xr6:coauthVersionLast="47" xr6:coauthVersionMax="47" xr10:uidLastSave="{00000000-0000-0000-0000-000000000000}"/>
  <bookViews>
    <workbookView xWindow="0" yWindow="600" windowWidth="19420" windowHeight="10300" activeTab="1" xr2:uid="{9065D2B5-8D1D-DE4A-9224-B528A9D4C042}"/>
  </bookViews>
  <sheets>
    <sheet name="Hoja1 (2)" sheetId="4" r:id="rId1"/>
    <sheet name="Hoja4" sheetId="5" r:id="rId2"/>
    <sheet name="Hoja1" sheetId="1" r:id="rId3"/>
    <sheet name="Hoja2" sheetId="2" r:id="rId4"/>
    <sheet name="Hoja3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5" l="1"/>
  <c r="J9" i="5"/>
  <c r="J8" i="5"/>
  <c r="J7" i="5"/>
  <c r="J6" i="5"/>
  <c r="J5" i="5"/>
  <c r="J4" i="5"/>
  <c r="K11" i="4" l="1"/>
  <c r="K5" i="4"/>
  <c r="K67" i="4"/>
  <c r="K66" i="4"/>
  <c r="K65" i="4"/>
  <c r="K64" i="4"/>
  <c r="K63" i="4"/>
  <c r="K62" i="4"/>
  <c r="K61" i="4"/>
  <c r="K60" i="4"/>
  <c r="K59" i="4"/>
  <c r="K53" i="4"/>
  <c r="K52" i="4"/>
  <c r="K51" i="4"/>
  <c r="K50" i="4"/>
  <c r="K49" i="4"/>
  <c r="K48" i="4"/>
  <c r="K47" i="4"/>
  <c r="K46" i="4"/>
  <c r="K45" i="4"/>
  <c r="K39" i="4"/>
  <c r="K38" i="4"/>
  <c r="K37" i="4"/>
  <c r="K36" i="4"/>
  <c r="K35" i="4"/>
  <c r="K34" i="4"/>
  <c r="K33" i="4"/>
  <c r="K32" i="4"/>
  <c r="K31" i="4"/>
  <c r="K25" i="4"/>
  <c r="K24" i="4"/>
  <c r="K23" i="4"/>
  <c r="K22" i="4"/>
  <c r="K21" i="4"/>
  <c r="K20" i="4"/>
  <c r="K19" i="4"/>
  <c r="K18" i="4"/>
  <c r="K17" i="4"/>
  <c r="K10" i="4"/>
  <c r="K9" i="4"/>
  <c r="K8" i="4"/>
  <c r="K7" i="4"/>
  <c r="K6" i="4"/>
  <c r="P41" i="2"/>
  <c r="H62" i="2"/>
  <c r="H63" i="2"/>
  <c r="P63" i="2" s="1"/>
  <c r="H64" i="2"/>
  <c r="H65" i="2"/>
  <c r="H66" i="2"/>
  <c r="P66" i="2" s="1"/>
  <c r="H67" i="2"/>
  <c r="P67" i="2" s="1"/>
  <c r="H68" i="2"/>
  <c r="P68" i="2" s="1"/>
  <c r="H69" i="2"/>
  <c r="H61" i="2"/>
  <c r="P61" i="2" s="1"/>
  <c r="H48" i="2"/>
  <c r="H49" i="2"/>
  <c r="H50" i="2"/>
  <c r="P50" i="2" s="1"/>
  <c r="H51" i="2"/>
  <c r="P51" i="2" s="1"/>
  <c r="H52" i="2"/>
  <c r="P52" i="2" s="1"/>
  <c r="H53" i="2"/>
  <c r="P53" i="2" s="1"/>
  <c r="H54" i="2"/>
  <c r="P54" i="2" s="1"/>
  <c r="H55" i="2"/>
  <c r="P55" i="2" s="1"/>
  <c r="H47" i="2"/>
  <c r="P47" i="2" s="1"/>
  <c r="P33" i="2"/>
  <c r="H34" i="2"/>
  <c r="H35" i="2"/>
  <c r="H36" i="2"/>
  <c r="H37" i="2"/>
  <c r="H38" i="2"/>
  <c r="P38" i="2" s="1"/>
  <c r="H39" i="2"/>
  <c r="P39" i="2" s="1"/>
  <c r="H40" i="2"/>
  <c r="P40" i="2" s="1"/>
  <c r="H41" i="2"/>
  <c r="H33" i="2"/>
  <c r="P20" i="2"/>
  <c r="P21" i="2"/>
  <c r="P22" i="2"/>
  <c r="P23" i="2"/>
  <c r="P24" i="2"/>
  <c r="P25" i="2"/>
  <c r="P26" i="2"/>
  <c r="P27" i="2"/>
  <c r="P19" i="2"/>
  <c r="H20" i="2"/>
  <c r="H21" i="2"/>
  <c r="H22" i="2"/>
  <c r="H23" i="2"/>
  <c r="H24" i="2"/>
  <c r="H25" i="2"/>
  <c r="H26" i="2"/>
  <c r="H27" i="2"/>
  <c r="H19" i="2"/>
  <c r="H6" i="2"/>
  <c r="H7" i="2"/>
  <c r="H8" i="2"/>
  <c r="H9" i="2"/>
  <c r="H10" i="2"/>
  <c r="H11" i="2"/>
  <c r="H12" i="2"/>
  <c r="H13" i="2"/>
  <c r="H5" i="2"/>
  <c r="P6" i="2"/>
  <c r="P7" i="2"/>
  <c r="P8" i="2"/>
  <c r="P9" i="2"/>
  <c r="P10" i="2"/>
  <c r="P11" i="2"/>
  <c r="P12" i="2"/>
  <c r="P13" i="2"/>
  <c r="P5" i="2"/>
  <c r="P69" i="2"/>
  <c r="P65" i="2"/>
  <c r="P64" i="2"/>
  <c r="P62" i="2"/>
  <c r="P49" i="2"/>
  <c r="P48" i="2"/>
  <c r="P37" i="2"/>
  <c r="P36" i="2"/>
  <c r="P35" i="2"/>
  <c r="P34" i="2"/>
  <c r="M20" i="1"/>
  <c r="M21" i="1"/>
  <c r="M22" i="1"/>
  <c r="M23" i="1"/>
  <c r="M24" i="1"/>
  <c r="M25" i="1"/>
  <c r="M26" i="1"/>
  <c r="M27" i="1"/>
  <c r="M33" i="1"/>
  <c r="M34" i="1"/>
  <c r="M35" i="1"/>
  <c r="M36" i="1"/>
  <c r="M37" i="1"/>
  <c r="M38" i="1"/>
  <c r="M39" i="1"/>
  <c r="M40" i="1"/>
  <c r="M41" i="1"/>
  <c r="M47" i="1"/>
  <c r="M48" i="1"/>
  <c r="M49" i="1"/>
  <c r="M50" i="1"/>
  <c r="M51" i="1"/>
  <c r="M52" i="1"/>
  <c r="M53" i="1"/>
  <c r="M54" i="1"/>
  <c r="M55" i="1"/>
  <c r="M61" i="1"/>
  <c r="M62" i="1"/>
  <c r="M63" i="1"/>
  <c r="M64" i="1"/>
  <c r="M65" i="1"/>
  <c r="M66" i="1"/>
  <c r="M67" i="1"/>
  <c r="M68" i="1"/>
  <c r="M69" i="1"/>
  <c r="M19" i="1"/>
  <c r="M6" i="1"/>
  <c r="M7" i="1"/>
  <c r="M8" i="1"/>
  <c r="M9" i="1"/>
  <c r="M10" i="1"/>
  <c r="M11" i="1"/>
  <c r="M12" i="1"/>
  <c r="M13" i="1"/>
  <c r="M5" i="1"/>
</calcChain>
</file>

<file path=xl/sharedStrings.xml><?xml version="1.0" encoding="utf-8"?>
<sst xmlns="http://schemas.openxmlformats.org/spreadsheetml/2006/main" count="420" uniqueCount="53">
  <si>
    <t>Descriptor</t>
  </si>
  <si>
    <t>Intensidad</t>
  </si>
  <si>
    <t>Frutal</t>
  </si>
  <si>
    <t>Floral</t>
  </si>
  <si>
    <t>Nuez</t>
  </si>
  <si>
    <t>Sulfuroso</t>
  </si>
  <si>
    <t>Mantecoso</t>
  </si>
  <si>
    <t>Maltoso</t>
  </si>
  <si>
    <t>Caramelo</t>
  </si>
  <si>
    <t>Fenólico</t>
  </si>
  <si>
    <t>RG</t>
  </si>
  <si>
    <t>LL</t>
  </si>
  <si>
    <t>FC</t>
  </si>
  <si>
    <t>RQ</t>
  </si>
  <si>
    <t>JF</t>
  </si>
  <si>
    <t>DM</t>
  </si>
  <si>
    <t>MIG</t>
  </si>
  <si>
    <t>JP</t>
  </si>
  <si>
    <t>CV</t>
  </si>
  <si>
    <r>
      <t>Muestra 1 (fermentación 1.5x10</t>
    </r>
    <r>
      <rPr>
        <b/>
        <vertAlign val="superscript"/>
        <sz val="16"/>
        <color theme="1"/>
        <rFont val="Calibri (Cuerpo)"/>
      </rPr>
      <t>6</t>
    </r>
    <r>
      <rPr>
        <b/>
        <sz val="16"/>
        <color theme="1"/>
        <rFont val="Calibri"/>
        <family val="2"/>
        <scheme val="minor"/>
      </rPr>
      <t xml:space="preserve"> cel/ml a 30°C)</t>
    </r>
  </si>
  <si>
    <t>Catadores</t>
  </si>
  <si>
    <r>
      <t>Muestra 2 (fermentación 1.5x10</t>
    </r>
    <r>
      <rPr>
        <b/>
        <vertAlign val="superscript"/>
        <sz val="16"/>
        <color theme="1"/>
        <rFont val="Calibri (Cuerpo)"/>
      </rPr>
      <t>6</t>
    </r>
    <r>
      <rPr>
        <b/>
        <sz val="16"/>
        <color theme="1"/>
        <rFont val="Calibri"/>
        <family val="2"/>
        <scheme val="minor"/>
      </rPr>
      <t xml:space="preserve"> cel/ml a 25°C)</t>
    </r>
  </si>
  <si>
    <r>
      <t>Muestra 3 (fermentación 4.5x10</t>
    </r>
    <r>
      <rPr>
        <b/>
        <vertAlign val="superscript"/>
        <sz val="16"/>
        <color theme="1"/>
        <rFont val="Calibri (Cuerpo)"/>
      </rPr>
      <t>6</t>
    </r>
    <r>
      <rPr>
        <b/>
        <sz val="16"/>
        <color theme="1"/>
        <rFont val="Calibri"/>
        <family val="2"/>
        <scheme val="minor"/>
      </rPr>
      <t xml:space="preserve"> cel/ml a 25°C)</t>
    </r>
  </si>
  <si>
    <r>
      <t>Muestra 4 (fermentación 4.5x10</t>
    </r>
    <r>
      <rPr>
        <b/>
        <vertAlign val="superscript"/>
        <sz val="16"/>
        <color theme="1"/>
        <rFont val="Calibri (Cuerpo)"/>
      </rPr>
      <t>6</t>
    </r>
    <r>
      <rPr>
        <b/>
        <sz val="16"/>
        <color theme="1"/>
        <rFont val="Calibri"/>
        <family val="2"/>
        <scheme val="minor"/>
      </rPr>
      <t xml:space="preserve"> cel/ml a 30°C)</t>
    </r>
  </si>
  <si>
    <r>
      <t>Muestra 5 (Prototipo; 1.5x10</t>
    </r>
    <r>
      <rPr>
        <b/>
        <vertAlign val="superscript"/>
        <sz val="16"/>
        <color theme="1"/>
        <rFont val="Calibri (Cuerpo)"/>
      </rPr>
      <t>6</t>
    </r>
    <r>
      <rPr>
        <b/>
        <sz val="16"/>
        <color theme="1"/>
        <rFont val="Calibri"/>
        <family val="2"/>
        <scheme val="minor"/>
      </rPr>
      <t xml:space="preserve"> cel/ml a 25°C)</t>
    </r>
  </si>
  <si>
    <t>TS</t>
  </si>
  <si>
    <t>Prom</t>
  </si>
  <si>
    <t xml:space="preserve"> </t>
  </si>
  <si>
    <t>Nombre</t>
  </si>
  <si>
    <t>MA</t>
  </si>
  <si>
    <t>JdelP</t>
  </si>
  <si>
    <t>FP</t>
  </si>
  <si>
    <t>Whisky nativo - Single Malt</t>
  </si>
  <si>
    <t>Endémico - Single Malt</t>
  </si>
  <si>
    <t>Patagonian Peaks - Single Malt</t>
  </si>
  <si>
    <t>Legacy - Single Malt</t>
  </si>
  <si>
    <t>Lenga - Single Malt</t>
  </si>
  <si>
    <t>Patagonian Peat - Single Malt</t>
  </si>
  <si>
    <t>Southern Smoke</t>
  </si>
  <si>
    <t>Chilean Peatfire Whisky</t>
  </si>
  <si>
    <t>Andean Ember Single Malt</t>
  </si>
  <si>
    <t>Tierra del Fuego Peat Select</t>
  </si>
  <si>
    <t>Austral Peat Essence</t>
  </si>
  <si>
    <t>Alquimia Austral</t>
  </si>
  <si>
    <t>Andino Elemental - single malt</t>
  </si>
  <si>
    <t>Savia del Sur - single malt</t>
  </si>
  <si>
    <t>Afrutado</t>
  </si>
  <si>
    <t>Plátano</t>
  </si>
  <si>
    <t>Rosas, miel o manzana</t>
  </si>
  <si>
    <t>Piña</t>
  </si>
  <si>
    <t>Malteado o almendrado</t>
  </si>
  <si>
    <t xml:space="preserve">Mosto </t>
  </si>
  <si>
    <r>
      <t>CL1604 (fermentación 1.5x10</t>
    </r>
    <r>
      <rPr>
        <b/>
        <vertAlign val="superscript"/>
        <sz val="16"/>
        <color theme="1"/>
        <rFont val="Calibri (Cuerpo)"/>
      </rPr>
      <t>6</t>
    </r>
    <r>
      <rPr>
        <b/>
        <sz val="16"/>
        <color theme="1"/>
        <rFont val="Calibri"/>
        <family val="2"/>
        <scheme val="minor"/>
      </rPr>
      <t xml:space="preserve"> cel/ml a 12°C)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</si>
</sst>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vertAlign val="superscript"/>
      <sz val="16"/>
      <color theme="1"/>
      <name val="Calibri (Cuerpo)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/>
    <xf numFmtId="0" fontId="2" fillId="0" borderId="0" xfId="0" applyFont="1"/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3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CL1604: 1.5x10</a:t>
            </a:r>
            <a:r>
              <a:rPr lang="es-MX" sz="1400" b="1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6</a:t>
            </a:r>
            <a:r>
              <a:rPr lang="es-MX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cél/ml a 12°C</a:t>
            </a:r>
          </a:p>
        </c:rich>
      </c:tx>
      <c:layout>
        <c:manualLayout>
          <c:xMode val="edge"/>
          <c:yMode val="edge"/>
          <c:x val="0.15845693200122166"/>
          <c:y val="2.94909330861564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6736909796040592"/>
          <c:y val="0.19988311992398922"/>
          <c:w val="0.41799140434964577"/>
          <c:h val="0.75796110060781496"/>
        </c:manualLayout>
      </c:layout>
      <c:radarChart>
        <c:radarStyle val="marker"/>
        <c:varyColors val="0"/>
        <c:ser>
          <c:idx val="0"/>
          <c:order val="0"/>
          <c:tx>
            <c:strRef>
              <c:f>'Hoja1 (2)'!$C$4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'Hoja1 (2)'!$B$5:$B$11</c:f>
              <c:strCache>
                <c:ptCount val="7"/>
                <c:pt idx="0">
                  <c:v>Afrutado</c:v>
                </c:pt>
                <c:pt idx="1">
                  <c:v>Plátano</c:v>
                </c:pt>
                <c:pt idx="2">
                  <c:v>Rosas, miel o manzana</c:v>
                </c:pt>
                <c:pt idx="3">
                  <c:v>Piña</c:v>
                </c:pt>
                <c:pt idx="4">
                  <c:v>Fenólico</c:v>
                </c:pt>
                <c:pt idx="5">
                  <c:v>Malteado o almendrado</c:v>
                </c:pt>
                <c:pt idx="6">
                  <c:v>Mosto </c:v>
                </c:pt>
              </c:strCache>
            </c:strRef>
          </c:cat>
          <c:val>
            <c:numRef>
              <c:f>'Hoja1 (2)'!$C$5:$C$11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F2-4A17-9211-C3F14BE9A1D8}"/>
            </c:ext>
          </c:extLst>
        </c:ser>
        <c:ser>
          <c:idx val="1"/>
          <c:order val="1"/>
          <c:tx>
            <c:strRef>
              <c:f>'Hoja1 (2)'!$D$4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'Hoja1 (2)'!$B$5:$B$11</c:f>
              <c:strCache>
                <c:ptCount val="7"/>
                <c:pt idx="0">
                  <c:v>Afrutado</c:v>
                </c:pt>
                <c:pt idx="1">
                  <c:v>Plátano</c:v>
                </c:pt>
                <c:pt idx="2">
                  <c:v>Rosas, miel o manzana</c:v>
                </c:pt>
                <c:pt idx="3">
                  <c:v>Piña</c:v>
                </c:pt>
                <c:pt idx="4">
                  <c:v>Fenólico</c:v>
                </c:pt>
                <c:pt idx="5">
                  <c:v>Malteado o almendrado</c:v>
                </c:pt>
                <c:pt idx="6">
                  <c:v>Mosto </c:v>
                </c:pt>
              </c:strCache>
            </c:strRef>
          </c:cat>
          <c:val>
            <c:numRef>
              <c:f>'Hoja1 (2)'!$D$5:$D$11</c:f>
              <c:numCache>
                <c:formatCode>General</c:formatCode>
                <c:ptCount val="7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F2-4A17-9211-C3F14BE9A1D8}"/>
            </c:ext>
          </c:extLst>
        </c:ser>
        <c:ser>
          <c:idx val="2"/>
          <c:order val="2"/>
          <c:tx>
            <c:strRef>
              <c:f>'Hoja1 (2)'!$E$4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'Hoja1 (2)'!$B$5:$B$11</c:f>
              <c:strCache>
                <c:ptCount val="7"/>
                <c:pt idx="0">
                  <c:v>Afrutado</c:v>
                </c:pt>
                <c:pt idx="1">
                  <c:v>Plátano</c:v>
                </c:pt>
                <c:pt idx="2">
                  <c:v>Rosas, miel o manzana</c:v>
                </c:pt>
                <c:pt idx="3">
                  <c:v>Piña</c:v>
                </c:pt>
                <c:pt idx="4">
                  <c:v>Fenólico</c:v>
                </c:pt>
                <c:pt idx="5">
                  <c:v>Malteado o almendrado</c:v>
                </c:pt>
                <c:pt idx="6">
                  <c:v>Mosto </c:v>
                </c:pt>
              </c:strCache>
            </c:strRef>
          </c:cat>
          <c:val>
            <c:numRef>
              <c:f>'Hoja1 (2)'!$E$5:$E$11</c:f>
              <c:numCache>
                <c:formatCode>General</c:formatCode>
                <c:ptCount val="7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F2-4A17-9211-C3F14BE9A1D8}"/>
            </c:ext>
          </c:extLst>
        </c:ser>
        <c:ser>
          <c:idx val="3"/>
          <c:order val="3"/>
          <c:tx>
            <c:strRef>
              <c:f>'Hoja1 (2)'!$F$4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'Hoja1 (2)'!$B$5:$B$11</c:f>
              <c:strCache>
                <c:ptCount val="7"/>
                <c:pt idx="0">
                  <c:v>Afrutado</c:v>
                </c:pt>
                <c:pt idx="1">
                  <c:v>Plátano</c:v>
                </c:pt>
                <c:pt idx="2">
                  <c:v>Rosas, miel o manzana</c:v>
                </c:pt>
                <c:pt idx="3">
                  <c:v>Piña</c:v>
                </c:pt>
                <c:pt idx="4">
                  <c:v>Fenólico</c:v>
                </c:pt>
                <c:pt idx="5">
                  <c:v>Malteado o almendrado</c:v>
                </c:pt>
                <c:pt idx="6">
                  <c:v>Mosto </c:v>
                </c:pt>
              </c:strCache>
            </c:strRef>
          </c:cat>
          <c:val>
            <c:numRef>
              <c:f>'Hoja1 (2)'!$F$5:$F$11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F2-4A17-9211-C3F14BE9A1D8}"/>
            </c:ext>
          </c:extLst>
        </c:ser>
        <c:ser>
          <c:idx val="4"/>
          <c:order val="4"/>
          <c:tx>
            <c:strRef>
              <c:f>'Hoja1 (2)'!$G$4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'Hoja1 (2)'!$B$5:$B$11</c:f>
              <c:strCache>
                <c:ptCount val="7"/>
                <c:pt idx="0">
                  <c:v>Afrutado</c:v>
                </c:pt>
                <c:pt idx="1">
                  <c:v>Plátano</c:v>
                </c:pt>
                <c:pt idx="2">
                  <c:v>Rosas, miel o manzana</c:v>
                </c:pt>
                <c:pt idx="3">
                  <c:v>Piña</c:v>
                </c:pt>
                <c:pt idx="4">
                  <c:v>Fenólico</c:v>
                </c:pt>
                <c:pt idx="5">
                  <c:v>Malteado o almendrado</c:v>
                </c:pt>
                <c:pt idx="6">
                  <c:v>Mosto </c:v>
                </c:pt>
              </c:strCache>
            </c:strRef>
          </c:cat>
          <c:val>
            <c:numRef>
              <c:f>'Hoja1 (2)'!$G$5:$G$11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F2-4A17-9211-C3F14BE9A1D8}"/>
            </c:ext>
          </c:extLst>
        </c:ser>
        <c:ser>
          <c:idx val="5"/>
          <c:order val="5"/>
          <c:tx>
            <c:strRef>
              <c:f>'Hoja1 (2)'!$H$4</c:f>
              <c:strCache>
                <c:ptCount val="1"/>
                <c:pt idx="0">
                  <c:v>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'Hoja1 (2)'!$B$5:$B$11</c:f>
              <c:strCache>
                <c:ptCount val="7"/>
                <c:pt idx="0">
                  <c:v>Afrutado</c:v>
                </c:pt>
                <c:pt idx="1">
                  <c:v>Plátano</c:v>
                </c:pt>
                <c:pt idx="2">
                  <c:v>Rosas, miel o manzana</c:v>
                </c:pt>
                <c:pt idx="3">
                  <c:v>Piña</c:v>
                </c:pt>
                <c:pt idx="4">
                  <c:v>Fenólico</c:v>
                </c:pt>
                <c:pt idx="5">
                  <c:v>Malteado o almendrado</c:v>
                </c:pt>
                <c:pt idx="6">
                  <c:v>Mosto </c:v>
                </c:pt>
              </c:strCache>
            </c:strRef>
          </c:cat>
          <c:val>
            <c:numRef>
              <c:f>'Hoja1 (2)'!$H$5:$H$11</c:f>
              <c:numCache>
                <c:formatCode>General</c:formatCode>
                <c:ptCount val="7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F2-4A17-9211-C3F14BE9A1D8}"/>
            </c:ext>
          </c:extLst>
        </c:ser>
        <c:ser>
          <c:idx val="6"/>
          <c:order val="6"/>
          <c:tx>
            <c:strRef>
              <c:f>'Hoja1 (2)'!$I$4</c:f>
              <c:strCache>
                <c:ptCount val="1"/>
                <c:pt idx="0">
                  <c:v>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'Hoja1 (2)'!$B$5:$B$11</c:f>
              <c:strCache>
                <c:ptCount val="7"/>
                <c:pt idx="0">
                  <c:v>Afrutado</c:v>
                </c:pt>
                <c:pt idx="1">
                  <c:v>Plátano</c:v>
                </c:pt>
                <c:pt idx="2">
                  <c:v>Rosas, miel o manzana</c:v>
                </c:pt>
                <c:pt idx="3">
                  <c:v>Piña</c:v>
                </c:pt>
                <c:pt idx="4">
                  <c:v>Fenólico</c:v>
                </c:pt>
                <c:pt idx="5">
                  <c:v>Malteado o almendrado</c:v>
                </c:pt>
                <c:pt idx="6">
                  <c:v>Mosto </c:v>
                </c:pt>
              </c:strCache>
            </c:strRef>
          </c:cat>
          <c:val>
            <c:numRef>
              <c:f>'Hoja1 (2)'!$I$5:$I$11</c:f>
              <c:numCache>
                <c:formatCode>General</c:formatCode>
                <c:ptCount val="7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F2-4A17-9211-C3F14BE9A1D8}"/>
            </c:ext>
          </c:extLst>
        </c:ser>
        <c:ser>
          <c:idx val="7"/>
          <c:order val="7"/>
          <c:tx>
            <c:strRef>
              <c:f>'Hoja1 (2)'!$J$4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'Hoja1 (2)'!$B$5:$B$11</c:f>
              <c:strCache>
                <c:ptCount val="7"/>
                <c:pt idx="0">
                  <c:v>Afrutado</c:v>
                </c:pt>
                <c:pt idx="1">
                  <c:v>Plátano</c:v>
                </c:pt>
                <c:pt idx="2">
                  <c:v>Rosas, miel o manzana</c:v>
                </c:pt>
                <c:pt idx="3">
                  <c:v>Piña</c:v>
                </c:pt>
                <c:pt idx="4">
                  <c:v>Fenólico</c:v>
                </c:pt>
                <c:pt idx="5">
                  <c:v>Malteado o almendrado</c:v>
                </c:pt>
                <c:pt idx="6">
                  <c:v>Mosto </c:v>
                </c:pt>
              </c:strCache>
            </c:strRef>
          </c:cat>
          <c:val>
            <c:numRef>
              <c:f>'Hoja1 (2)'!$J$5:$J$11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EF2-4A17-9211-C3F14BE9A1D8}"/>
            </c:ext>
          </c:extLst>
        </c:ser>
        <c:ser>
          <c:idx val="8"/>
          <c:order val="8"/>
          <c:tx>
            <c:strRef>
              <c:f>'Hoja1 (2)'!#REF!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'Hoja1 (2)'!$B$5:$B$11</c:f>
              <c:strCache>
                <c:ptCount val="7"/>
                <c:pt idx="0">
                  <c:v>Afrutado</c:v>
                </c:pt>
                <c:pt idx="1">
                  <c:v>Plátano</c:v>
                </c:pt>
                <c:pt idx="2">
                  <c:v>Rosas, miel o manzana</c:v>
                </c:pt>
                <c:pt idx="3">
                  <c:v>Piña</c:v>
                </c:pt>
                <c:pt idx="4">
                  <c:v>Fenólico</c:v>
                </c:pt>
                <c:pt idx="5">
                  <c:v>Malteado o almendrado</c:v>
                </c:pt>
                <c:pt idx="6">
                  <c:v>Mosto </c:v>
                </c:pt>
              </c:strCache>
            </c:strRef>
          </c:cat>
          <c:val>
            <c:numRef>
              <c:f>'Hoja1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EF2-4A17-9211-C3F14BE9A1D8}"/>
            </c:ext>
          </c:extLst>
        </c:ser>
        <c:ser>
          <c:idx val="9"/>
          <c:order val="9"/>
          <c:tx>
            <c:strRef>
              <c:f>'Hoja1 (2)'!#REF!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'Hoja1 (2)'!$B$5:$B$11</c:f>
              <c:strCache>
                <c:ptCount val="7"/>
                <c:pt idx="0">
                  <c:v>Afrutado</c:v>
                </c:pt>
                <c:pt idx="1">
                  <c:v>Plátano</c:v>
                </c:pt>
                <c:pt idx="2">
                  <c:v>Rosas, miel o manzana</c:v>
                </c:pt>
                <c:pt idx="3">
                  <c:v>Piña</c:v>
                </c:pt>
                <c:pt idx="4">
                  <c:v>Fenólico</c:v>
                </c:pt>
                <c:pt idx="5">
                  <c:v>Malteado o almendrado</c:v>
                </c:pt>
                <c:pt idx="6">
                  <c:v>Mosto </c:v>
                </c:pt>
              </c:strCache>
            </c:strRef>
          </c:cat>
          <c:val>
            <c:numRef>
              <c:f>'Hoja1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EF2-4A17-9211-C3F14BE9A1D8}"/>
            </c:ext>
          </c:extLst>
        </c:ser>
        <c:ser>
          <c:idx val="10"/>
          <c:order val="10"/>
          <c:tx>
            <c:strRef>
              <c:f>'Hoja1 (2)'!$K$4</c:f>
              <c:strCache>
                <c:ptCount val="1"/>
                <c:pt idx="0">
                  <c:v>Prom</c:v>
                </c:pt>
              </c:strCache>
            </c:strRef>
          </c:tx>
          <c:spPr>
            <a:ln w="44450" cap="rnd">
              <a:solidFill>
                <a:srgbClr val="FF0000"/>
              </a:solidFill>
              <a:prstDash val="sysDash"/>
              <a:round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marker>
            <c:symbol val="none"/>
          </c:marker>
          <c:cat>
            <c:strRef>
              <c:f>'Hoja1 (2)'!$B$5:$B$11</c:f>
              <c:strCache>
                <c:ptCount val="7"/>
                <c:pt idx="0">
                  <c:v>Afrutado</c:v>
                </c:pt>
                <c:pt idx="1">
                  <c:v>Plátano</c:v>
                </c:pt>
                <c:pt idx="2">
                  <c:v>Rosas, miel o manzana</c:v>
                </c:pt>
                <c:pt idx="3">
                  <c:v>Piña</c:v>
                </c:pt>
                <c:pt idx="4">
                  <c:v>Fenólico</c:v>
                </c:pt>
                <c:pt idx="5">
                  <c:v>Malteado o almendrado</c:v>
                </c:pt>
                <c:pt idx="6">
                  <c:v>Mosto </c:v>
                </c:pt>
              </c:strCache>
            </c:strRef>
          </c:cat>
          <c:val>
            <c:numRef>
              <c:f>'Hoja1 (2)'!$K$5:$K$11</c:f>
              <c:numCache>
                <c:formatCode>General</c:formatCode>
                <c:ptCount val="7"/>
                <c:pt idx="0">
                  <c:v>1.5</c:v>
                </c:pt>
                <c:pt idx="1">
                  <c:v>1.625</c:v>
                </c:pt>
                <c:pt idx="2">
                  <c:v>1.125</c:v>
                </c:pt>
                <c:pt idx="3">
                  <c:v>0.25</c:v>
                </c:pt>
                <c:pt idx="4">
                  <c:v>1.5</c:v>
                </c:pt>
                <c:pt idx="5">
                  <c:v>1.875</c:v>
                </c:pt>
                <c:pt idx="6">
                  <c:v>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EF2-4A17-9211-C3F14BE9A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393760"/>
        <c:axId val="538462080"/>
      </c:radarChart>
      <c:catAx>
        <c:axId val="53839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8462080"/>
        <c:crosses val="autoZero"/>
        <c:auto val="1"/>
        <c:lblAlgn val="ctr"/>
        <c:lblOffset val="100"/>
        <c:noMultiLvlLbl val="0"/>
      </c:catAx>
      <c:valAx>
        <c:axId val="53846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839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75815091711623761"/>
          <c:y val="0.19578612494170511"/>
          <c:w val="0.15511142821957519"/>
          <c:h val="0.746494468514945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MUESTRA 2: 1.5x10</a:t>
            </a:r>
            <a:r>
              <a:rPr lang="es-MX" sz="1400" b="1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6</a:t>
            </a:r>
            <a:r>
              <a:rPr lang="es-MX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cel/ml a 25°C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'Hoja1 (2)'!$C$16</c:f>
              <c:strCache>
                <c:ptCount val="1"/>
                <c:pt idx="0">
                  <c:v>RG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'Hoja1 (2)'!$B$17:$B$25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(2)'!$C$17:$C$25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F-490F-AB03-70ABD61E3948}"/>
            </c:ext>
          </c:extLst>
        </c:ser>
        <c:ser>
          <c:idx val="1"/>
          <c:order val="1"/>
          <c:tx>
            <c:strRef>
              <c:f>'Hoja1 (2)'!$D$16</c:f>
              <c:strCache>
                <c:ptCount val="1"/>
                <c:pt idx="0">
                  <c:v>LL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'Hoja1 (2)'!$B$17:$B$25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(2)'!$D$17:$D$25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FF-490F-AB03-70ABD61E3948}"/>
            </c:ext>
          </c:extLst>
        </c:ser>
        <c:ser>
          <c:idx val="2"/>
          <c:order val="2"/>
          <c:tx>
            <c:strRef>
              <c:f>'Hoja1 (2)'!$E$16</c:f>
              <c:strCache>
                <c:ptCount val="1"/>
                <c:pt idx="0">
                  <c:v>FC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'Hoja1 (2)'!$B$17:$B$25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(2)'!$E$17:$E$25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FF-490F-AB03-70ABD61E3948}"/>
            </c:ext>
          </c:extLst>
        </c:ser>
        <c:ser>
          <c:idx val="3"/>
          <c:order val="3"/>
          <c:tx>
            <c:strRef>
              <c:f>'Hoja1 (2)'!$F$16</c:f>
              <c:strCache>
                <c:ptCount val="1"/>
                <c:pt idx="0">
                  <c:v>RQ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'Hoja1 (2)'!$B$17:$B$25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(2)'!$F$17:$F$25</c:f>
              <c:numCache>
                <c:formatCode>General</c:formatCode>
                <c:ptCount val="9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FF-490F-AB03-70ABD61E3948}"/>
            </c:ext>
          </c:extLst>
        </c:ser>
        <c:ser>
          <c:idx val="4"/>
          <c:order val="4"/>
          <c:tx>
            <c:strRef>
              <c:f>'Hoja1 (2)'!$G$16</c:f>
              <c:strCache>
                <c:ptCount val="1"/>
                <c:pt idx="0">
                  <c:v>JF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'Hoja1 (2)'!$B$17:$B$25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(2)'!$G$17:$G$25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FF-490F-AB03-70ABD61E3948}"/>
            </c:ext>
          </c:extLst>
        </c:ser>
        <c:ser>
          <c:idx val="5"/>
          <c:order val="5"/>
          <c:tx>
            <c:strRef>
              <c:f>'Hoja1 (2)'!$H$16</c:f>
              <c:strCache>
                <c:ptCount val="1"/>
                <c:pt idx="0">
                  <c:v>DM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'Hoja1 (2)'!$B$17:$B$25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(2)'!$H$17:$H$25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2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9FF-490F-AB03-70ABD61E3948}"/>
            </c:ext>
          </c:extLst>
        </c:ser>
        <c:ser>
          <c:idx val="6"/>
          <c:order val="6"/>
          <c:tx>
            <c:strRef>
              <c:f>'Hoja1 (2)'!$I$16</c:f>
              <c:strCache>
                <c:ptCount val="1"/>
                <c:pt idx="0">
                  <c:v>MIG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'Hoja1 (2)'!$B$17:$B$25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(2)'!$I$17:$I$25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  <c:pt idx="6">
                  <c:v>1</c:v>
                </c:pt>
                <c:pt idx="7">
                  <c:v>4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9FF-490F-AB03-70ABD61E3948}"/>
            </c:ext>
          </c:extLst>
        </c:ser>
        <c:ser>
          <c:idx val="7"/>
          <c:order val="7"/>
          <c:tx>
            <c:strRef>
              <c:f>'Hoja1 (2)'!$J$16</c:f>
              <c:strCache>
                <c:ptCount val="1"/>
                <c:pt idx="0">
                  <c:v>TS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'Hoja1 (2)'!$B$17:$B$25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(2)'!$J$17:$J$25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9FF-490F-AB03-70ABD61E3948}"/>
            </c:ext>
          </c:extLst>
        </c:ser>
        <c:ser>
          <c:idx val="8"/>
          <c:order val="8"/>
          <c:tx>
            <c:strRef>
              <c:f>'Hoja1 (2)'!#REF!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'Hoja1 (2)'!$B$17:$B$25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9FF-490F-AB03-70ABD61E3948}"/>
            </c:ext>
          </c:extLst>
        </c:ser>
        <c:ser>
          <c:idx val="9"/>
          <c:order val="9"/>
          <c:tx>
            <c:strRef>
              <c:f>'Hoja1 (2)'!#REF!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'Hoja1 (2)'!$B$17:$B$25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9FF-490F-AB03-70ABD61E3948}"/>
            </c:ext>
          </c:extLst>
        </c:ser>
        <c:ser>
          <c:idx val="10"/>
          <c:order val="10"/>
          <c:tx>
            <c:strRef>
              <c:f>'Hoja1 (2)'!$K$16</c:f>
              <c:strCache>
                <c:ptCount val="1"/>
                <c:pt idx="0">
                  <c:v>Prom</c:v>
                </c:pt>
              </c:strCache>
            </c:strRef>
          </c:tx>
          <c:spPr>
            <a:ln w="444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'Hoja1 (2)'!$B$17:$B$25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(2)'!$K$17:$K$25</c:f>
              <c:numCache>
                <c:formatCode>0.0</c:formatCode>
                <c:ptCount val="9"/>
                <c:pt idx="0">
                  <c:v>3.5</c:v>
                </c:pt>
                <c:pt idx="1">
                  <c:v>3.125</c:v>
                </c:pt>
                <c:pt idx="2">
                  <c:v>2.125</c:v>
                </c:pt>
                <c:pt idx="3">
                  <c:v>2.875</c:v>
                </c:pt>
                <c:pt idx="4">
                  <c:v>1.125</c:v>
                </c:pt>
                <c:pt idx="5">
                  <c:v>2.125</c:v>
                </c:pt>
                <c:pt idx="6">
                  <c:v>2.25</c:v>
                </c:pt>
                <c:pt idx="7">
                  <c:v>2.375</c:v>
                </c:pt>
                <c:pt idx="8">
                  <c:v>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9FF-490F-AB03-70ABD61E3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930784"/>
        <c:axId val="225933056"/>
      </c:radarChart>
      <c:catAx>
        <c:axId val="22593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25933056"/>
        <c:crosses val="autoZero"/>
        <c:auto val="1"/>
        <c:lblAlgn val="ctr"/>
        <c:lblOffset val="100"/>
        <c:noMultiLvlLbl val="0"/>
      </c:catAx>
      <c:valAx>
        <c:axId val="22593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2593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b="1"/>
              <a:t>MUESTRA </a:t>
            </a:r>
            <a:r>
              <a:rPr lang="es-MX" b="1" baseline="0"/>
              <a:t>3: </a:t>
            </a:r>
            <a:r>
              <a:rPr lang="es-MX" b="1"/>
              <a:t>4.5x10</a:t>
            </a:r>
            <a:r>
              <a:rPr lang="es-MX" b="1" baseline="30000"/>
              <a:t>6</a:t>
            </a:r>
            <a:r>
              <a:rPr lang="es-MX" b="1"/>
              <a:t> cel/ml a 25°C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'Hoja1 (2)'!$C$30</c:f>
              <c:strCache>
                <c:ptCount val="1"/>
                <c:pt idx="0">
                  <c:v>RG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'Hoja1 (2)'!$B$31:$B$39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(2)'!$C$31:$C$39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47-426A-8717-85BEE1552B0E}"/>
            </c:ext>
          </c:extLst>
        </c:ser>
        <c:ser>
          <c:idx val="1"/>
          <c:order val="1"/>
          <c:tx>
            <c:strRef>
              <c:f>'Hoja1 (2)'!$D$30</c:f>
              <c:strCache>
                <c:ptCount val="1"/>
                <c:pt idx="0">
                  <c:v>LL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'Hoja1 (2)'!$B$31:$B$39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(2)'!$D$31:$D$39</c:f>
              <c:numCache>
                <c:formatCode>General</c:formatCode>
                <c:ptCount val="9"/>
                <c:pt idx="0">
                  <c:v>3</c:v>
                </c:pt>
                <c:pt idx="1">
                  <c:v>5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47-426A-8717-85BEE1552B0E}"/>
            </c:ext>
          </c:extLst>
        </c:ser>
        <c:ser>
          <c:idx val="2"/>
          <c:order val="2"/>
          <c:tx>
            <c:strRef>
              <c:f>'Hoja1 (2)'!$E$30</c:f>
              <c:strCache>
                <c:ptCount val="1"/>
                <c:pt idx="0">
                  <c:v>FC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'Hoja1 (2)'!$B$31:$B$39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(2)'!$E$31:$E$39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47-426A-8717-85BEE1552B0E}"/>
            </c:ext>
          </c:extLst>
        </c:ser>
        <c:ser>
          <c:idx val="3"/>
          <c:order val="3"/>
          <c:tx>
            <c:strRef>
              <c:f>'Hoja1 (2)'!$F$30</c:f>
              <c:strCache>
                <c:ptCount val="1"/>
                <c:pt idx="0">
                  <c:v>RQ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'Hoja1 (2)'!$B$31:$B$39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(2)'!$F$31:$F$39</c:f>
              <c:numCache>
                <c:formatCode>General</c:formatCode>
                <c:ptCount val="9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47-426A-8717-85BEE1552B0E}"/>
            </c:ext>
          </c:extLst>
        </c:ser>
        <c:ser>
          <c:idx val="4"/>
          <c:order val="4"/>
          <c:tx>
            <c:strRef>
              <c:f>'Hoja1 (2)'!$G$30</c:f>
              <c:strCache>
                <c:ptCount val="1"/>
                <c:pt idx="0">
                  <c:v>JF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'Hoja1 (2)'!$B$31:$B$39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(2)'!$G$31:$G$39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47-426A-8717-85BEE1552B0E}"/>
            </c:ext>
          </c:extLst>
        </c:ser>
        <c:ser>
          <c:idx val="5"/>
          <c:order val="5"/>
          <c:tx>
            <c:strRef>
              <c:f>'Hoja1 (2)'!$H$30</c:f>
              <c:strCache>
                <c:ptCount val="1"/>
                <c:pt idx="0">
                  <c:v>DM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'Hoja1 (2)'!$B$31:$B$39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(2)'!$H$31:$H$39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47-426A-8717-85BEE1552B0E}"/>
            </c:ext>
          </c:extLst>
        </c:ser>
        <c:ser>
          <c:idx val="6"/>
          <c:order val="6"/>
          <c:tx>
            <c:strRef>
              <c:f>'Hoja1 (2)'!$I$30</c:f>
              <c:strCache>
                <c:ptCount val="1"/>
                <c:pt idx="0">
                  <c:v>MIG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'Hoja1 (2)'!$B$31:$B$39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(2)'!$I$31:$I$39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47-426A-8717-85BEE1552B0E}"/>
            </c:ext>
          </c:extLst>
        </c:ser>
        <c:ser>
          <c:idx val="7"/>
          <c:order val="7"/>
          <c:tx>
            <c:strRef>
              <c:f>'Hoja1 (2)'!$J$30</c:f>
              <c:strCache>
                <c:ptCount val="1"/>
                <c:pt idx="0">
                  <c:v>TS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'Hoja1 (2)'!$B$31:$B$39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(2)'!$J$31:$J$39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  <c:pt idx="7">
                  <c:v>2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647-426A-8717-85BEE1552B0E}"/>
            </c:ext>
          </c:extLst>
        </c:ser>
        <c:ser>
          <c:idx val="8"/>
          <c:order val="8"/>
          <c:tx>
            <c:strRef>
              <c:f>'Hoja1 (2)'!#REF!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'Hoja1 (2)'!$B$31:$B$39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647-426A-8717-85BEE1552B0E}"/>
            </c:ext>
          </c:extLst>
        </c:ser>
        <c:ser>
          <c:idx val="9"/>
          <c:order val="9"/>
          <c:tx>
            <c:strRef>
              <c:f>'Hoja1 (2)'!#REF!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'Hoja1 (2)'!$B$31:$B$39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647-426A-8717-85BEE1552B0E}"/>
            </c:ext>
          </c:extLst>
        </c:ser>
        <c:ser>
          <c:idx val="10"/>
          <c:order val="10"/>
          <c:tx>
            <c:strRef>
              <c:f>'Hoja1 (2)'!$K$30</c:f>
              <c:strCache>
                <c:ptCount val="1"/>
                <c:pt idx="0">
                  <c:v>Prom</c:v>
                </c:pt>
              </c:strCache>
            </c:strRef>
          </c:tx>
          <c:spPr>
            <a:ln w="444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'Hoja1 (2)'!$B$31:$B$39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(2)'!$K$31:$K$39</c:f>
              <c:numCache>
                <c:formatCode>0.0</c:formatCode>
                <c:ptCount val="9"/>
                <c:pt idx="0">
                  <c:v>3</c:v>
                </c:pt>
                <c:pt idx="1">
                  <c:v>3.25</c:v>
                </c:pt>
                <c:pt idx="2">
                  <c:v>2.375</c:v>
                </c:pt>
                <c:pt idx="3">
                  <c:v>2</c:v>
                </c:pt>
                <c:pt idx="4">
                  <c:v>1.125</c:v>
                </c:pt>
                <c:pt idx="5">
                  <c:v>1.5</c:v>
                </c:pt>
                <c:pt idx="6">
                  <c:v>2.375</c:v>
                </c:pt>
                <c:pt idx="7">
                  <c:v>2.375</c:v>
                </c:pt>
                <c:pt idx="8">
                  <c:v>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647-426A-8717-85BEE1552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9792464"/>
        <c:axId val="2099794736"/>
      </c:radarChart>
      <c:catAx>
        <c:axId val="209979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99794736"/>
        <c:crosses val="autoZero"/>
        <c:auto val="1"/>
        <c:lblAlgn val="ctr"/>
        <c:lblOffset val="100"/>
        <c:noMultiLvlLbl val="0"/>
      </c:catAx>
      <c:valAx>
        <c:axId val="209979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9979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MUESTRA 4: 4.5x10</a:t>
            </a:r>
            <a:r>
              <a:rPr lang="es-MX" sz="1400" b="1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6</a:t>
            </a:r>
            <a:r>
              <a:rPr lang="es-MX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cél/ml a  30°C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'Hoja1 (2)'!$C$44</c:f>
              <c:strCache>
                <c:ptCount val="1"/>
                <c:pt idx="0">
                  <c:v>RG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'Hoja1 (2)'!$B$45:$B$53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(2)'!$C$45:$C$53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14-4341-A82E-DB9F5B713C34}"/>
            </c:ext>
          </c:extLst>
        </c:ser>
        <c:ser>
          <c:idx val="1"/>
          <c:order val="1"/>
          <c:tx>
            <c:strRef>
              <c:f>'Hoja1 (2)'!$D$44</c:f>
              <c:strCache>
                <c:ptCount val="1"/>
                <c:pt idx="0">
                  <c:v>LL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'Hoja1 (2)'!$B$45:$B$53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(2)'!$D$45:$D$53</c:f>
              <c:numCache>
                <c:formatCode>General</c:formatCode>
                <c:ptCount val="9"/>
                <c:pt idx="0">
                  <c:v>4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14-4341-A82E-DB9F5B713C34}"/>
            </c:ext>
          </c:extLst>
        </c:ser>
        <c:ser>
          <c:idx val="2"/>
          <c:order val="2"/>
          <c:tx>
            <c:strRef>
              <c:f>'Hoja1 (2)'!$E$44</c:f>
              <c:strCache>
                <c:ptCount val="1"/>
                <c:pt idx="0">
                  <c:v>FC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'Hoja1 (2)'!$B$45:$B$53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(2)'!$E$45:$E$53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14-4341-A82E-DB9F5B713C34}"/>
            </c:ext>
          </c:extLst>
        </c:ser>
        <c:ser>
          <c:idx val="3"/>
          <c:order val="3"/>
          <c:tx>
            <c:strRef>
              <c:f>'Hoja1 (2)'!$F$44</c:f>
              <c:strCache>
                <c:ptCount val="1"/>
                <c:pt idx="0">
                  <c:v>RQ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'Hoja1 (2)'!$B$45:$B$53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(2)'!$F$45:$F$53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14-4341-A82E-DB9F5B713C34}"/>
            </c:ext>
          </c:extLst>
        </c:ser>
        <c:ser>
          <c:idx val="4"/>
          <c:order val="4"/>
          <c:tx>
            <c:strRef>
              <c:f>'Hoja1 (2)'!$G$44</c:f>
              <c:strCache>
                <c:ptCount val="1"/>
                <c:pt idx="0">
                  <c:v>JF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'Hoja1 (2)'!$B$45:$B$53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(2)'!$G$45:$G$53</c:f>
              <c:numCache>
                <c:formatCode>General</c:formatCode>
                <c:ptCount val="9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14-4341-A82E-DB9F5B713C34}"/>
            </c:ext>
          </c:extLst>
        </c:ser>
        <c:ser>
          <c:idx val="5"/>
          <c:order val="5"/>
          <c:tx>
            <c:strRef>
              <c:f>'Hoja1 (2)'!$H$44</c:f>
              <c:strCache>
                <c:ptCount val="1"/>
                <c:pt idx="0">
                  <c:v>DM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'Hoja1 (2)'!$B$45:$B$53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(2)'!$H$45:$H$53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314-4341-A82E-DB9F5B713C34}"/>
            </c:ext>
          </c:extLst>
        </c:ser>
        <c:ser>
          <c:idx val="6"/>
          <c:order val="6"/>
          <c:tx>
            <c:strRef>
              <c:f>'Hoja1 (2)'!$I$44</c:f>
              <c:strCache>
                <c:ptCount val="1"/>
                <c:pt idx="0">
                  <c:v>MIG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'Hoja1 (2)'!$B$45:$B$53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(2)'!$I$45:$I$53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5</c:v>
                </c:pt>
                <c:pt idx="7">
                  <c:v>2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14-4341-A82E-DB9F5B713C34}"/>
            </c:ext>
          </c:extLst>
        </c:ser>
        <c:ser>
          <c:idx val="7"/>
          <c:order val="7"/>
          <c:tx>
            <c:strRef>
              <c:f>'Hoja1 (2)'!$J$44</c:f>
              <c:strCache>
                <c:ptCount val="1"/>
                <c:pt idx="0">
                  <c:v>TS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'Hoja1 (2)'!$B$45:$B$53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(2)'!$J$45:$J$53</c:f>
              <c:numCache>
                <c:formatCode>General</c:formatCode>
                <c:ptCount val="9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314-4341-A82E-DB9F5B713C34}"/>
            </c:ext>
          </c:extLst>
        </c:ser>
        <c:ser>
          <c:idx val="8"/>
          <c:order val="8"/>
          <c:tx>
            <c:strRef>
              <c:f>'Hoja1 (2)'!#REF!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'Hoja1 (2)'!$B$45:$B$53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314-4341-A82E-DB9F5B713C34}"/>
            </c:ext>
          </c:extLst>
        </c:ser>
        <c:ser>
          <c:idx val="9"/>
          <c:order val="9"/>
          <c:tx>
            <c:strRef>
              <c:f>'Hoja1 (2)'!#REF!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'Hoja1 (2)'!$B$45:$B$53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314-4341-A82E-DB9F5B713C34}"/>
            </c:ext>
          </c:extLst>
        </c:ser>
        <c:ser>
          <c:idx val="10"/>
          <c:order val="10"/>
          <c:tx>
            <c:strRef>
              <c:f>'Hoja1 (2)'!$K$44</c:f>
              <c:strCache>
                <c:ptCount val="1"/>
                <c:pt idx="0">
                  <c:v>Prom</c:v>
                </c:pt>
              </c:strCache>
            </c:strRef>
          </c:tx>
          <c:spPr>
            <a:ln w="444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'Hoja1 (2)'!$B$45:$B$53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(2)'!$K$45:$K$53</c:f>
              <c:numCache>
                <c:formatCode>0.0</c:formatCode>
                <c:ptCount val="9"/>
                <c:pt idx="0">
                  <c:v>3.875</c:v>
                </c:pt>
                <c:pt idx="1">
                  <c:v>3.125</c:v>
                </c:pt>
                <c:pt idx="2">
                  <c:v>2.25</c:v>
                </c:pt>
                <c:pt idx="3">
                  <c:v>2.125</c:v>
                </c:pt>
                <c:pt idx="4">
                  <c:v>1.125</c:v>
                </c:pt>
                <c:pt idx="5">
                  <c:v>2.125</c:v>
                </c:pt>
                <c:pt idx="6">
                  <c:v>3.125</c:v>
                </c:pt>
                <c:pt idx="7">
                  <c:v>2.5</c:v>
                </c:pt>
                <c:pt idx="8">
                  <c:v>2.625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314-4341-A82E-DB9F5B713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9903"/>
        <c:axId val="12711631"/>
      </c:radarChart>
      <c:catAx>
        <c:axId val="1270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711631"/>
        <c:crosses val="autoZero"/>
        <c:auto val="1"/>
        <c:lblAlgn val="ctr"/>
        <c:lblOffset val="100"/>
        <c:noMultiLvlLbl val="0"/>
      </c:catAx>
      <c:valAx>
        <c:axId val="1271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70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MUESTRA 5: Prototipo 1.5x10</a:t>
            </a:r>
            <a:r>
              <a:rPr lang="es-MX" sz="1400" b="1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6</a:t>
            </a:r>
            <a:r>
              <a:rPr lang="es-MX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cel/ml a 25°C</a:t>
            </a:r>
          </a:p>
        </c:rich>
      </c:tx>
      <c:layout>
        <c:manualLayout>
          <c:xMode val="edge"/>
          <c:yMode val="edge"/>
          <c:x val="2.9152582653620213E-2"/>
          <c:y val="2.89678642440104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'Hoja1 (2)'!$C$58</c:f>
              <c:strCache>
                <c:ptCount val="1"/>
                <c:pt idx="0">
                  <c:v>RG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'Hoja1 (2)'!$B$59:$B$67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(2)'!$C$59:$C$67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9-4661-B55C-495CBAC4DA25}"/>
            </c:ext>
          </c:extLst>
        </c:ser>
        <c:ser>
          <c:idx val="1"/>
          <c:order val="1"/>
          <c:tx>
            <c:strRef>
              <c:f>'Hoja1 (2)'!$D$58</c:f>
              <c:strCache>
                <c:ptCount val="1"/>
                <c:pt idx="0">
                  <c:v>LL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'Hoja1 (2)'!$B$59:$B$67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(2)'!$D$59:$D$67</c:f>
              <c:numCache>
                <c:formatCode>General</c:formatCode>
                <c:ptCount val="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4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69-4661-B55C-495CBAC4DA25}"/>
            </c:ext>
          </c:extLst>
        </c:ser>
        <c:ser>
          <c:idx val="2"/>
          <c:order val="2"/>
          <c:tx>
            <c:strRef>
              <c:f>'Hoja1 (2)'!$E$58</c:f>
              <c:strCache>
                <c:ptCount val="1"/>
                <c:pt idx="0">
                  <c:v>FC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'Hoja1 (2)'!$B$59:$B$67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(2)'!$E$59:$E$67</c:f>
              <c:numCache>
                <c:formatCode>General</c:formatCode>
                <c:ptCount val="9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69-4661-B55C-495CBAC4DA25}"/>
            </c:ext>
          </c:extLst>
        </c:ser>
        <c:ser>
          <c:idx val="3"/>
          <c:order val="3"/>
          <c:tx>
            <c:strRef>
              <c:f>'Hoja1 (2)'!$F$58</c:f>
              <c:strCache>
                <c:ptCount val="1"/>
                <c:pt idx="0">
                  <c:v>RQ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'Hoja1 (2)'!$B$59:$B$67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(2)'!$F$59:$F$67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69-4661-B55C-495CBAC4DA25}"/>
            </c:ext>
          </c:extLst>
        </c:ser>
        <c:ser>
          <c:idx val="4"/>
          <c:order val="4"/>
          <c:tx>
            <c:strRef>
              <c:f>'Hoja1 (2)'!$G$58</c:f>
              <c:strCache>
                <c:ptCount val="1"/>
                <c:pt idx="0">
                  <c:v>JF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'Hoja1 (2)'!$B$59:$B$67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(2)'!$G$59:$G$67</c:f>
              <c:numCache>
                <c:formatCode>General</c:formatCode>
                <c:ptCount val="9"/>
                <c:pt idx="0">
                  <c:v>4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69-4661-B55C-495CBAC4DA25}"/>
            </c:ext>
          </c:extLst>
        </c:ser>
        <c:ser>
          <c:idx val="5"/>
          <c:order val="5"/>
          <c:tx>
            <c:strRef>
              <c:f>'Hoja1 (2)'!$H$58</c:f>
              <c:strCache>
                <c:ptCount val="1"/>
                <c:pt idx="0">
                  <c:v>DM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'Hoja1 (2)'!$B$59:$B$67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(2)'!$H$59:$H$67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69-4661-B55C-495CBAC4DA25}"/>
            </c:ext>
          </c:extLst>
        </c:ser>
        <c:ser>
          <c:idx val="6"/>
          <c:order val="6"/>
          <c:tx>
            <c:strRef>
              <c:f>'Hoja1 (2)'!$I$58</c:f>
              <c:strCache>
                <c:ptCount val="1"/>
                <c:pt idx="0">
                  <c:v>MIG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'Hoja1 (2)'!$B$59:$B$67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(2)'!$I$59:$I$67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69-4661-B55C-495CBAC4DA25}"/>
            </c:ext>
          </c:extLst>
        </c:ser>
        <c:ser>
          <c:idx val="7"/>
          <c:order val="7"/>
          <c:tx>
            <c:strRef>
              <c:f>'Hoja1 (2)'!$J$58</c:f>
              <c:strCache>
                <c:ptCount val="1"/>
                <c:pt idx="0">
                  <c:v>TS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'Hoja1 (2)'!$B$59:$B$67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(2)'!$J$59:$J$67</c:f>
              <c:numCache>
                <c:formatCode>General</c:formatCode>
                <c:ptCount val="9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E69-4661-B55C-495CBAC4DA25}"/>
            </c:ext>
          </c:extLst>
        </c:ser>
        <c:ser>
          <c:idx val="8"/>
          <c:order val="8"/>
          <c:tx>
            <c:strRef>
              <c:f>'Hoja1 (2)'!#REF!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'Hoja1 (2)'!$B$59:$B$67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E69-4661-B55C-495CBAC4DA25}"/>
            </c:ext>
          </c:extLst>
        </c:ser>
        <c:ser>
          <c:idx val="9"/>
          <c:order val="9"/>
          <c:tx>
            <c:strRef>
              <c:f>'Hoja1 (2)'!#REF!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'Hoja1 (2)'!$B$59:$B$67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E69-4661-B55C-495CBAC4DA25}"/>
            </c:ext>
          </c:extLst>
        </c:ser>
        <c:ser>
          <c:idx val="10"/>
          <c:order val="10"/>
          <c:tx>
            <c:strRef>
              <c:f>'Hoja1 (2)'!$K$58</c:f>
              <c:strCache>
                <c:ptCount val="1"/>
                <c:pt idx="0">
                  <c:v>Prom</c:v>
                </c:pt>
              </c:strCache>
            </c:strRef>
          </c:tx>
          <c:spPr>
            <a:ln w="444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'Hoja1 (2)'!$B$59:$B$67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'Hoja1 (2)'!$K$59:$K$67</c:f>
              <c:numCache>
                <c:formatCode>0.0</c:formatCode>
                <c:ptCount val="9"/>
                <c:pt idx="0">
                  <c:v>3.75</c:v>
                </c:pt>
                <c:pt idx="1">
                  <c:v>3.125</c:v>
                </c:pt>
                <c:pt idx="2">
                  <c:v>3</c:v>
                </c:pt>
                <c:pt idx="3">
                  <c:v>2.375</c:v>
                </c:pt>
                <c:pt idx="4">
                  <c:v>1.375</c:v>
                </c:pt>
                <c:pt idx="5">
                  <c:v>2.5</c:v>
                </c:pt>
                <c:pt idx="6">
                  <c:v>2.75</c:v>
                </c:pt>
                <c:pt idx="7">
                  <c:v>3.125</c:v>
                </c:pt>
                <c:pt idx="8">
                  <c:v>2.875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E69-4661-B55C-495CBAC4D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9923184"/>
        <c:axId val="2099919968"/>
      </c:radarChart>
      <c:catAx>
        <c:axId val="209992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99919968"/>
        <c:crosses val="autoZero"/>
        <c:auto val="1"/>
        <c:lblAlgn val="ctr"/>
        <c:lblOffset val="100"/>
        <c:noMultiLvlLbl val="0"/>
      </c:catAx>
      <c:valAx>
        <c:axId val="209991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9992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MUIESTRA 1: 1.5x10</a:t>
            </a:r>
            <a:r>
              <a:rPr lang="es-MX" sz="1400" b="1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6</a:t>
            </a:r>
            <a:r>
              <a:rPr lang="es-MX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cél/ml a  30°C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Hoja1!$C$4</c:f>
              <c:strCache>
                <c:ptCount val="1"/>
                <c:pt idx="0">
                  <c:v>RG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Hoja1!$B$5:$B$13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Hoja1!$C$5:$C$13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03-374C-AB02-AA473DB8C647}"/>
            </c:ext>
          </c:extLst>
        </c:ser>
        <c:ser>
          <c:idx val="1"/>
          <c:order val="1"/>
          <c:tx>
            <c:strRef>
              <c:f>Hoja1!$D$4</c:f>
              <c:strCache>
                <c:ptCount val="1"/>
                <c:pt idx="0">
                  <c:v>LL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Hoja1!$B$5:$B$13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Hoja1!$D$5:$D$13</c:f>
              <c:numCache>
                <c:formatCode>General</c:formatCode>
                <c:ptCount val="9"/>
                <c:pt idx="0">
                  <c:v>3</c:v>
                </c:pt>
                <c:pt idx="1">
                  <c:v>2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03-374C-AB02-AA473DB8C647}"/>
            </c:ext>
          </c:extLst>
        </c:ser>
        <c:ser>
          <c:idx val="2"/>
          <c:order val="2"/>
          <c:tx>
            <c:strRef>
              <c:f>Hoja1!$E$4</c:f>
              <c:strCache>
                <c:ptCount val="1"/>
                <c:pt idx="0">
                  <c:v>FC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Hoja1!$B$5:$B$13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Hoja1!$E$5:$E$13</c:f>
              <c:numCache>
                <c:formatCode>General</c:formatCode>
                <c:ptCount val="9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03-374C-AB02-AA473DB8C647}"/>
            </c:ext>
          </c:extLst>
        </c:ser>
        <c:ser>
          <c:idx val="3"/>
          <c:order val="3"/>
          <c:tx>
            <c:strRef>
              <c:f>Hoja1!$F$4</c:f>
              <c:strCache>
                <c:ptCount val="1"/>
                <c:pt idx="0">
                  <c:v>RQ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Hoja1!$B$5:$B$13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Hoja1!$F$5:$F$13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03-374C-AB02-AA473DB8C647}"/>
            </c:ext>
          </c:extLst>
        </c:ser>
        <c:ser>
          <c:idx val="4"/>
          <c:order val="4"/>
          <c:tx>
            <c:strRef>
              <c:f>Hoja1!$G$4</c:f>
              <c:strCache>
                <c:ptCount val="1"/>
                <c:pt idx="0">
                  <c:v>JF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Hoja1!$B$5:$B$13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Hoja1!$G$5:$G$13</c:f>
              <c:numCache>
                <c:formatCode>General</c:formatCode>
                <c:ptCount val="9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03-374C-AB02-AA473DB8C647}"/>
            </c:ext>
          </c:extLst>
        </c:ser>
        <c:ser>
          <c:idx val="5"/>
          <c:order val="5"/>
          <c:tx>
            <c:strRef>
              <c:f>Hoja1!$H$4</c:f>
              <c:strCache>
                <c:ptCount val="1"/>
                <c:pt idx="0">
                  <c:v>DM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Hoja1!$B$5:$B$13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Hoja1!$H$5:$H$13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903-374C-AB02-AA473DB8C647}"/>
            </c:ext>
          </c:extLst>
        </c:ser>
        <c:ser>
          <c:idx val="6"/>
          <c:order val="6"/>
          <c:tx>
            <c:strRef>
              <c:f>Hoja1!$I$4</c:f>
              <c:strCache>
                <c:ptCount val="1"/>
                <c:pt idx="0">
                  <c:v>MIG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Hoja1!$B$5:$B$13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Hoja1!$I$5:$I$13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903-374C-AB02-AA473DB8C647}"/>
            </c:ext>
          </c:extLst>
        </c:ser>
        <c:ser>
          <c:idx val="7"/>
          <c:order val="7"/>
          <c:tx>
            <c:strRef>
              <c:f>Hoja1!$J$4</c:f>
              <c:strCache>
                <c:ptCount val="1"/>
                <c:pt idx="0">
                  <c:v>TS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Hoja1!$B$5:$B$13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Hoja1!$J$5:$J$13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903-374C-AB02-AA473DB8C647}"/>
            </c:ext>
          </c:extLst>
        </c:ser>
        <c:ser>
          <c:idx val="8"/>
          <c:order val="8"/>
          <c:tx>
            <c:strRef>
              <c:f>Hoja1!$K$4</c:f>
              <c:strCache>
                <c:ptCount val="1"/>
                <c:pt idx="0">
                  <c:v>JP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Hoja1!$B$5:$B$13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Hoja1!$K$5:$K$13</c:f>
              <c:numCache>
                <c:formatCode>General</c:formatCode>
                <c:ptCount val="9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903-374C-AB02-AA473DB8C647}"/>
            </c:ext>
          </c:extLst>
        </c:ser>
        <c:ser>
          <c:idx val="9"/>
          <c:order val="9"/>
          <c:tx>
            <c:strRef>
              <c:f>Hoja1!$L$4</c:f>
              <c:strCache>
                <c:ptCount val="1"/>
                <c:pt idx="0">
                  <c:v>CV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Hoja1!$B$5:$B$13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Hoja1!$L$5:$L$13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903-374C-AB02-AA473DB8C647}"/>
            </c:ext>
          </c:extLst>
        </c:ser>
        <c:ser>
          <c:idx val="10"/>
          <c:order val="10"/>
          <c:tx>
            <c:strRef>
              <c:f>Hoja1!$M$4</c:f>
              <c:strCache>
                <c:ptCount val="1"/>
                <c:pt idx="0">
                  <c:v>Prom</c:v>
                </c:pt>
              </c:strCache>
            </c:strRef>
          </c:tx>
          <c:spPr>
            <a:ln w="44450" cap="rnd">
              <a:solidFill>
                <a:srgbClr val="FF0000"/>
              </a:solidFill>
              <a:prstDash val="sysDash"/>
              <a:round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marker>
            <c:symbol val="none"/>
          </c:marker>
          <c:cat>
            <c:strRef>
              <c:f>Hoja1!$B$5:$B$13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Hoja1!$M$5:$M$13</c:f>
              <c:numCache>
                <c:formatCode>General</c:formatCode>
                <c:ptCount val="9"/>
                <c:pt idx="0">
                  <c:v>3.7</c:v>
                </c:pt>
                <c:pt idx="1">
                  <c:v>2.6</c:v>
                </c:pt>
                <c:pt idx="2">
                  <c:v>2.5</c:v>
                </c:pt>
                <c:pt idx="3">
                  <c:v>2.1</c:v>
                </c:pt>
                <c:pt idx="4">
                  <c:v>1.1000000000000001</c:v>
                </c:pt>
                <c:pt idx="5">
                  <c:v>2.1</c:v>
                </c:pt>
                <c:pt idx="6">
                  <c:v>2.8</c:v>
                </c:pt>
                <c:pt idx="7">
                  <c:v>2.2000000000000002</c:v>
                </c:pt>
                <c:pt idx="8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903-374C-AB02-AA473DB8C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393760"/>
        <c:axId val="538462080"/>
      </c:radarChart>
      <c:catAx>
        <c:axId val="53839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8462080"/>
        <c:crosses val="autoZero"/>
        <c:auto val="1"/>
        <c:lblAlgn val="ctr"/>
        <c:lblOffset val="100"/>
        <c:noMultiLvlLbl val="0"/>
      </c:catAx>
      <c:valAx>
        <c:axId val="53846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839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MUESTRA 2: 1.5x10</a:t>
            </a:r>
            <a:r>
              <a:rPr lang="es-MX" sz="1400" b="1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6</a:t>
            </a:r>
            <a:r>
              <a:rPr lang="es-MX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cel/ml a 25°C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Hoja1!$C$18</c:f>
              <c:strCache>
                <c:ptCount val="1"/>
                <c:pt idx="0">
                  <c:v>RG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Hoja1!$B$19:$B$27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Hoja1!$C$19:$C$27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5-1446-8B99-D9267C8F3A86}"/>
            </c:ext>
          </c:extLst>
        </c:ser>
        <c:ser>
          <c:idx val="1"/>
          <c:order val="1"/>
          <c:tx>
            <c:strRef>
              <c:f>Hoja1!$D$18</c:f>
              <c:strCache>
                <c:ptCount val="1"/>
                <c:pt idx="0">
                  <c:v>LL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Hoja1!$B$19:$B$27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Hoja1!$D$19:$D$27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95-1446-8B99-D9267C8F3A86}"/>
            </c:ext>
          </c:extLst>
        </c:ser>
        <c:ser>
          <c:idx val="2"/>
          <c:order val="2"/>
          <c:tx>
            <c:strRef>
              <c:f>Hoja1!$E$18</c:f>
              <c:strCache>
                <c:ptCount val="1"/>
                <c:pt idx="0">
                  <c:v>FC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Hoja1!$B$19:$B$27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Hoja1!$E$19:$E$27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95-1446-8B99-D9267C8F3A86}"/>
            </c:ext>
          </c:extLst>
        </c:ser>
        <c:ser>
          <c:idx val="3"/>
          <c:order val="3"/>
          <c:tx>
            <c:strRef>
              <c:f>Hoja1!$F$18</c:f>
              <c:strCache>
                <c:ptCount val="1"/>
                <c:pt idx="0">
                  <c:v>RQ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Hoja1!$B$19:$B$27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Hoja1!$F$19:$F$27</c:f>
              <c:numCache>
                <c:formatCode>General</c:formatCode>
                <c:ptCount val="9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95-1446-8B99-D9267C8F3A86}"/>
            </c:ext>
          </c:extLst>
        </c:ser>
        <c:ser>
          <c:idx val="4"/>
          <c:order val="4"/>
          <c:tx>
            <c:strRef>
              <c:f>Hoja1!$G$18</c:f>
              <c:strCache>
                <c:ptCount val="1"/>
                <c:pt idx="0">
                  <c:v>JF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Hoja1!$B$19:$B$27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Hoja1!$G$19:$G$27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95-1446-8B99-D9267C8F3A86}"/>
            </c:ext>
          </c:extLst>
        </c:ser>
        <c:ser>
          <c:idx val="5"/>
          <c:order val="5"/>
          <c:tx>
            <c:strRef>
              <c:f>Hoja1!$H$18</c:f>
              <c:strCache>
                <c:ptCount val="1"/>
                <c:pt idx="0">
                  <c:v>DM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Hoja1!$B$19:$B$27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Hoja1!$H$19:$H$27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2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95-1446-8B99-D9267C8F3A86}"/>
            </c:ext>
          </c:extLst>
        </c:ser>
        <c:ser>
          <c:idx val="6"/>
          <c:order val="6"/>
          <c:tx>
            <c:strRef>
              <c:f>Hoja1!$I$18</c:f>
              <c:strCache>
                <c:ptCount val="1"/>
                <c:pt idx="0">
                  <c:v>MIG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Hoja1!$B$19:$B$27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Hoja1!$I$19:$I$27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  <c:pt idx="6">
                  <c:v>1</c:v>
                </c:pt>
                <c:pt idx="7">
                  <c:v>4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95-1446-8B99-D9267C8F3A86}"/>
            </c:ext>
          </c:extLst>
        </c:ser>
        <c:ser>
          <c:idx val="7"/>
          <c:order val="7"/>
          <c:tx>
            <c:strRef>
              <c:f>Hoja1!$J$18</c:f>
              <c:strCache>
                <c:ptCount val="1"/>
                <c:pt idx="0">
                  <c:v>TS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Hoja1!$B$19:$B$27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Hoja1!$J$19:$J$27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995-1446-8B99-D9267C8F3A86}"/>
            </c:ext>
          </c:extLst>
        </c:ser>
        <c:ser>
          <c:idx val="8"/>
          <c:order val="8"/>
          <c:tx>
            <c:strRef>
              <c:f>Hoja1!$K$18</c:f>
              <c:strCache>
                <c:ptCount val="1"/>
                <c:pt idx="0">
                  <c:v>JP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Hoja1!$B$19:$B$27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Hoja1!$K$19:$K$27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995-1446-8B99-D9267C8F3A86}"/>
            </c:ext>
          </c:extLst>
        </c:ser>
        <c:ser>
          <c:idx val="9"/>
          <c:order val="9"/>
          <c:tx>
            <c:strRef>
              <c:f>Hoja1!$L$18</c:f>
              <c:strCache>
                <c:ptCount val="1"/>
                <c:pt idx="0">
                  <c:v>CV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Hoja1!$B$19:$B$27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Hoja1!$L$19:$L$27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995-1446-8B99-D9267C8F3A86}"/>
            </c:ext>
          </c:extLst>
        </c:ser>
        <c:ser>
          <c:idx val="10"/>
          <c:order val="10"/>
          <c:tx>
            <c:strRef>
              <c:f>Hoja1!$M$18</c:f>
              <c:strCache>
                <c:ptCount val="1"/>
                <c:pt idx="0">
                  <c:v>Prom</c:v>
                </c:pt>
              </c:strCache>
            </c:strRef>
          </c:tx>
          <c:spPr>
            <a:ln w="444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Hoja1!$B$19:$B$27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Hoja1!$M$19:$M$27</c:f>
              <c:numCache>
                <c:formatCode>0.0</c:formatCode>
                <c:ptCount val="9"/>
                <c:pt idx="0">
                  <c:v>3.4</c:v>
                </c:pt>
                <c:pt idx="1">
                  <c:v>3.3</c:v>
                </c:pt>
                <c:pt idx="2">
                  <c:v>2</c:v>
                </c:pt>
                <c:pt idx="3">
                  <c:v>2.7</c:v>
                </c:pt>
                <c:pt idx="4">
                  <c:v>1.2</c:v>
                </c:pt>
                <c:pt idx="5">
                  <c:v>2</c:v>
                </c:pt>
                <c:pt idx="6">
                  <c:v>2.1</c:v>
                </c:pt>
                <c:pt idx="7">
                  <c:v>2.4</c:v>
                </c:pt>
                <c:pt idx="8">
                  <c:v>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995-1446-8B99-D9267C8F3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930784"/>
        <c:axId val="225933056"/>
      </c:radarChart>
      <c:catAx>
        <c:axId val="22593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25933056"/>
        <c:crosses val="autoZero"/>
        <c:auto val="1"/>
        <c:lblAlgn val="ctr"/>
        <c:lblOffset val="100"/>
        <c:noMultiLvlLbl val="0"/>
      </c:catAx>
      <c:valAx>
        <c:axId val="22593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2593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b="1"/>
              <a:t>MUESTRA </a:t>
            </a:r>
            <a:r>
              <a:rPr lang="es-MX" b="1" baseline="0"/>
              <a:t>3: </a:t>
            </a:r>
            <a:r>
              <a:rPr lang="es-MX" b="1"/>
              <a:t>4.5x10</a:t>
            </a:r>
            <a:r>
              <a:rPr lang="es-MX" b="1" baseline="30000"/>
              <a:t>6</a:t>
            </a:r>
            <a:r>
              <a:rPr lang="es-MX" b="1"/>
              <a:t> cel/ml a 25°C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Hoja1!$C$32</c:f>
              <c:strCache>
                <c:ptCount val="1"/>
                <c:pt idx="0">
                  <c:v>RG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Hoja1!$B$33:$B$41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Hoja1!$C$33:$C$41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3E-7D4E-8228-564C8C6CB8C2}"/>
            </c:ext>
          </c:extLst>
        </c:ser>
        <c:ser>
          <c:idx val="1"/>
          <c:order val="1"/>
          <c:tx>
            <c:strRef>
              <c:f>Hoja1!$D$32</c:f>
              <c:strCache>
                <c:ptCount val="1"/>
                <c:pt idx="0">
                  <c:v>LL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Hoja1!$B$33:$B$41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Hoja1!$D$33:$D$41</c:f>
              <c:numCache>
                <c:formatCode>General</c:formatCode>
                <c:ptCount val="9"/>
                <c:pt idx="0">
                  <c:v>3</c:v>
                </c:pt>
                <c:pt idx="1">
                  <c:v>5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3E-7D4E-8228-564C8C6CB8C2}"/>
            </c:ext>
          </c:extLst>
        </c:ser>
        <c:ser>
          <c:idx val="2"/>
          <c:order val="2"/>
          <c:tx>
            <c:strRef>
              <c:f>Hoja1!$E$32</c:f>
              <c:strCache>
                <c:ptCount val="1"/>
                <c:pt idx="0">
                  <c:v>FC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Hoja1!$B$33:$B$41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Hoja1!$E$33:$E$41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3E-7D4E-8228-564C8C6CB8C2}"/>
            </c:ext>
          </c:extLst>
        </c:ser>
        <c:ser>
          <c:idx val="3"/>
          <c:order val="3"/>
          <c:tx>
            <c:strRef>
              <c:f>Hoja1!$F$32</c:f>
              <c:strCache>
                <c:ptCount val="1"/>
                <c:pt idx="0">
                  <c:v>RQ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Hoja1!$B$33:$B$41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Hoja1!$F$33:$F$41</c:f>
              <c:numCache>
                <c:formatCode>General</c:formatCode>
                <c:ptCount val="9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3E-7D4E-8228-564C8C6CB8C2}"/>
            </c:ext>
          </c:extLst>
        </c:ser>
        <c:ser>
          <c:idx val="4"/>
          <c:order val="4"/>
          <c:tx>
            <c:strRef>
              <c:f>Hoja1!$G$32</c:f>
              <c:strCache>
                <c:ptCount val="1"/>
                <c:pt idx="0">
                  <c:v>JF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Hoja1!$B$33:$B$41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Hoja1!$G$33:$G$41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3E-7D4E-8228-564C8C6CB8C2}"/>
            </c:ext>
          </c:extLst>
        </c:ser>
        <c:ser>
          <c:idx val="5"/>
          <c:order val="5"/>
          <c:tx>
            <c:strRef>
              <c:f>Hoja1!$H$32</c:f>
              <c:strCache>
                <c:ptCount val="1"/>
                <c:pt idx="0">
                  <c:v>DM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Hoja1!$B$33:$B$41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Hoja1!$H$33:$H$41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A3E-7D4E-8228-564C8C6CB8C2}"/>
            </c:ext>
          </c:extLst>
        </c:ser>
        <c:ser>
          <c:idx val="6"/>
          <c:order val="6"/>
          <c:tx>
            <c:strRef>
              <c:f>Hoja1!$I$32</c:f>
              <c:strCache>
                <c:ptCount val="1"/>
                <c:pt idx="0">
                  <c:v>MIG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Hoja1!$B$33:$B$41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Hoja1!$I$33:$I$41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A3E-7D4E-8228-564C8C6CB8C2}"/>
            </c:ext>
          </c:extLst>
        </c:ser>
        <c:ser>
          <c:idx val="7"/>
          <c:order val="7"/>
          <c:tx>
            <c:strRef>
              <c:f>Hoja1!$J$32</c:f>
              <c:strCache>
                <c:ptCount val="1"/>
                <c:pt idx="0">
                  <c:v>TS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Hoja1!$B$33:$B$41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Hoja1!$J$33:$J$41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  <c:pt idx="7">
                  <c:v>2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A3E-7D4E-8228-564C8C6CB8C2}"/>
            </c:ext>
          </c:extLst>
        </c:ser>
        <c:ser>
          <c:idx val="8"/>
          <c:order val="8"/>
          <c:tx>
            <c:strRef>
              <c:f>Hoja1!$K$32</c:f>
              <c:strCache>
                <c:ptCount val="1"/>
                <c:pt idx="0">
                  <c:v>JP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Hoja1!$B$33:$B$41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Hoja1!$K$33:$K$41</c:f>
              <c:numCache>
                <c:formatCode>General</c:formatCode>
                <c:ptCount val="9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A3E-7D4E-8228-564C8C6CB8C2}"/>
            </c:ext>
          </c:extLst>
        </c:ser>
        <c:ser>
          <c:idx val="9"/>
          <c:order val="9"/>
          <c:tx>
            <c:strRef>
              <c:f>Hoja1!$L$32</c:f>
              <c:strCache>
                <c:ptCount val="1"/>
                <c:pt idx="0">
                  <c:v>CV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Hoja1!$B$33:$B$41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Hoja1!$L$33:$L$41</c:f>
              <c:numCache>
                <c:formatCode>General</c:formatCode>
                <c:ptCount val="9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A3E-7D4E-8228-564C8C6CB8C2}"/>
            </c:ext>
          </c:extLst>
        </c:ser>
        <c:ser>
          <c:idx val="10"/>
          <c:order val="10"/>
          <c:tx>
            <c:strRef>
              <c:f>Hoja1!$M$32</c:f>
              <c:strCache>
                <c:ptCount val="1"/>
                <c:pt idx="0">
                  <c:v>Prom</c:v>
                </c:pt>
              </c:strCache>
            </c:strRef>
          </c:tx>
          <c:spPr>
            <a:ln w="444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Hoja1!$B$33:$B$41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Hoja1!$M$33:$M$41</c:f>
              <c:numCache>
                <c:formatCode>0.0</c:formatCode>
                <c:ptCount val="9"/>
                <c:pt idx="0">
                  <c:v>3.1</c:v>
                </c:pt>
                <c:pt idx="1">
                  <c:v>2.9</c:v>
                </c:pt>
                <c:pt idx="2">
                  <c:v>2.2999999999999998</c:v>
                </c:pt>
                <c:pt idx="3">
                  <c:v>2.2000000000000002</c:v>
                </c:pt>
                <c:pt idx="4">
                  <c:v>1.1000000000000001</c:v>
                </c:pt>
                <c:pt idx="5">
                  <c:v>1.8</c:v>
                </c:pt>
                <c:pt idx="6">
                  <c:v>2.5</c:v>
                </c:pt>
                <c:pt idx="7">
                  <c:v>2.4</c:v>
                </c:pt>
                <c:pt idx="8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A3E-7D4E-8228-564C8C6CB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9792464"/>
        <c:axId val="2099794736"/>
      </c:radarChart>
      <c:catAx>
        <c:axId val="209979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99794736"/>
        <c:crosses val="autoZero"/>
        <c:auto val="1"/>
        <c:lblAlgn val="ctr"/>
        <c:lblOffset val="100"/>
        <c:noMultiLvlLbl val="0"/>
      </c:catAx>
      <c:valAx>
        <c:axId val="209979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9979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MUESTRA 4: 4.5x10</a:t>
            </a:r>
            <a:r>
              <a:rPr lang="es-MX" sz="1400" b="1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6</a:t>
            </a:r>
            <a:r>
              <a:rPr lang="es-MX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cél/ml a  30°C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Hoja1!$C$46</c:f>
              <c:strCache>
                <c:ptCount val="1"/>
                <c:pt idx="0">
                  <c:v>RG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Hoja1!$B$47:$B$55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Hoja1!$C$47:$C$55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02-0845-A02C-E9647BD3CC5C}"/>
            </c:ext>
          </c:extLst>
        </c:ser>
        <c:ser>
          <c:idx val="1"/>
          <c:order val="1"/>
          <c:tx>
            <c:strRef>
              <c:f>Hoja1!$D$46</c:f>
              <c:strCache>
                <c:ptCount val="1"/>
                <c:pt idx="0">
                  <c:v>LL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Hoja1!$B$47:$B$55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Hoja1!$D$47:$D$55</c:f>
              <c:numCache>
                <c:formatCode>General</c:formatCode>
                <c:ptCount val="9"/>
                <c:pt idx="0">
                  <c:v>4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02-0845-A02C-E9647BD3CC5C}"/>
            </c:ext>
          </c:extLst>
        </c:ser>
        <c:ser>
          <c:idx val="2"/>
          <c:order val="2"/>
          <c:tx>
            <c:strRef>
              <c:f>Hoja1!$E$46</c:f>
              <c:strCache>
                <c:ptCount val="1"/>
                <c:pt idx="0">
                  <c:v>FC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Hoja1!$B$47:$B$55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Hoja1!$E$47:$E$55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02-0845-A02C-E9647BD3CC5C}"/>
            </c:ext>
          </c:extLst>
        </c:ser>
        <c:ser>
          <c:idx val="3"/>
          <c:order val="3"/>
          <c:tx>
            <c:strRef>
              <c:f>Hoja1!$F$46</c:f>
              <c:strCache>
                <c:ptCount val="1"/>
                <c:pt idx="0">
                  <c:v>RQ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Hoja1!$B$47:$B$55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Hoja1!$F$47:$F$55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02-0845-A02C-E9647BD3CC5C}"/>
            </c:ext>
          </c:extLst>
        </c:ser>
        <c:ser>
          <c:idx val="4"/>
          <c:order val="4"/>
          <c:tx>
            <c:strRef>
              <c:f>Hoja1!$G$46</c:f>
              <c:strCache>
                <c:ptCount val="1"/>
                <c:pt idx="0">
                  <c:v>JF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Hoja1!$B$47:$B$55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Hoja1!$G$47:$G$55</c:f>
              <c:numCache>
                <c:formatCode>General</c:formatCode>
                <c:ptCount val="9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02-0845-A02C-E9647BD3CC5C}"/>
            </c:ext>
          </c:extLst>
        </c:ser>
        <c:ser>
          <c:idx val="5"/>
          <c:order val="5"/>
          <c:tx>
            <c:strRef>
              <c:f>Hoja1!$H$46</c:f>
              <c:strCache>
                <c:ptCount val="1"/>
                <c:pt idx="0">
                  <c:v>DM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Hoja1!$B$47:$B$55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Hoja1!$H$47:$H$55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02-0845-A02C-E9647BD3CC5C}"/>
            </c:ext>
          </c:extLst>
        </c:ser>
        <c:ser>
          <c:idx val="6"/>
          <c:order val="6"/>
          <c:tx>
            <c:strRef>
              <c:f>Hoja1!$I$46</c:f>
              <c:strCache>
                <c:ptCount val="1"/>
                <c:pt idx="0">
                  <c:v>MIG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Hoja1!$B$47:$B$55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Hoja1!$I$47:$I$55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5</c:v>
                </c:pt>
                <c:pt idx="7">
                  <c:v>2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02-0845-A02C-E9647BD3CC5C}"/>
            </c:ext>
          </c:extLst>
        </c:ser>
        <c:ser>
          <c:idx val="7"/>
          <c:order val="7"/>
          <c:tx>
            <c:strRef>
              <c:f>Hoja1!$J$46</c:f>
              <c:strCache>
                <c:ptCount val="1"/>
                <c:pt idx="0">
                  <c:v>TS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Hoja1!$B$47:$B$55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Hoja1!$J$47:$J$55</c:f>
              <c:numCache>
                <c:formatCode>General</c:formatCode>
                <c:ptCount val="9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102-0845-A02C-E9647BD3CC5C}"/>
            </c:ext>
          </c:extLst>
        </c:ser>
        <c:ser>
          <c:idx val="8"/>
          <c:order val="8"/>
          <c:tx>
            <c:strRef>
              <c:f>Hoja1!$K$46</c:f>
              <c:strCache>
                <c:ptCount val="1"/>
                <c:pt idx="0">
                  <c:v>JP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Hoja1!$B$47:$B$55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Hoja1!$K$47:$K$55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102-0845-A02C-E9647BD3CC5C}"/>
            </c:ext>
          </c:extLst>
        </c:ser>
        <c:ser>
          <c:idx val="9"/>
          <c:order val="9"/>
          <c:tx>
            <c:strRef>
              <c:f>Hoja1!$L$46</c:f>
              <c:strCache>
                <c:ptCount val="1"/>
                <c:pt idx="0">
                  <c:v>CV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Hoja1!$B$47:$B$55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Hoja1!$L$47:$L$55</c:f>
              <c:numCache>
                <c:formatCode>General</c:formatCode>
                <c:ptCount val="9"/>
                <c:pt idx="0">
                  <c:v>5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102-0845-A02C-E9647BD3CC5C}"/>
            </c:ext>
          </c:extLst>
        </c:ser>
        <c:ser>
          <c:idx val="10"/>
          <c:order val="10"/>
          <c:tx>
            <c:strRef>
              <c:f>Hoja1!$M$46</c:f>
              <c:strCache>
                <c:ptCount val="1"/>
                <c:pt idx="0">
                  <c:v>Prom</c:v>
                </c:pt>
              </c:strCache>
            </c:strRef>
          </c:tx>
          <c:spPr>
            <a:ln w="444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Hoja1!$B$47:$B$55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Hoja1!$M$47:$M$55</c:f>
              <c:numCache>
                <c:formatCode>0.0</c:formatCode>
                <c:ptCount val="9"/>
                <c:pt idx="0">
                  <c:v>3.9</c:v>
                </c:pt>
                <c:pt idx="1">
                  <c:v>3.1</c:v>
                </c:pt>
                <c:pt idx="2">
                  <c:v>2.5</c:v>
                </c:pt>
                <c:pt idx="3">
                  <c:v>2.2000000000000002</c:v>
                </c:pt>
                <c:pt idx="4">
                  <c:v>1.2</c:v>
                </c:pt>
                <c:pt idx="5">
                  <c:v>2.1</c:v>
                </c:pt>
                <c:pt idx="6">
                  <c:v>3.2</c:v>
                </c:pt>
                <c:pt idx="7">
                  <c:v>2.7</c:v>
                </c:pt>
                <c:pt idx="8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102-0845-A02C-E9647BD3C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9903"/>
        <c:axId val="12711631"/>
      </c:radarChart>
      <c:catAx>
        <c:axId val="1270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711631"/>
        <c:crosses val="autoZero"/>
        <c:auto val="1"/>
        <c:lblAlgn val="ctr"/>
        <c:lblOffset val="100"/>
        <c:noMultiLvlLbl val="0"/>
      </c:catAx>
      <c:valAx>
        <c:axId val="1271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70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MUESTRA 5: Prototipo 1.5x10</a:t>
            </a:r>
            <a:r>
              <a:rPr lang="es-MX" sz="1400" b="1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6</a:t>
            </a:r>
            <a:r>
              <a:rPr lang="es-MX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cel/ml a 25°C</a:t>
            </a:r>
          </a:p>
        </c:rich>
      </c:tx>
      <c:layout>
        <c:manualLayout>
          <c:xMode val="edge"/>
          <c:yMode val="edge"/>
          <c:x val="2.9152582653620213E-2"/>
          <c:y val="2.89678642440104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Hoja1!$C$60</c:f>
              <c:strCache>
                <c:ptCount val="1"/>
                <c:pt idx="0">
                  <c:v>RG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Hoja1!$B$61:$B$69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Hoja1!$C$61:$C$69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BC-094F-B184-227DD056CB53}"/>
            </c:ext>
          </c:extLst>
        </c:ser>
        <c:ser>
          <c:idx val="1"/>
          <c:order val="1"/>
          <c:tx>
            <c:strRef>
              <c:f>Hoja1!$D$60</c:f>
              <c:strCache>
                <c:ptCount val="1"/>
                <c:pt idx="0">
                  <c:v>LL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Hoja1!$B$61:$B$69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Hoja1!$D$61:$D$69</c:f>
              <c:numCache>
                <c:formatCode>General</c:formatCode>
                <c:ptCount val="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4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BC-094F-B184-227DD056CB53}"/>
            </c:ext>
          </c:extLst>
        </c:ser>
        <c:ser>
          <c:idx val="2"/>
          <c:order val="2"/>
          <c:tx>
            <c:strRef>
              <c:f>Hoja1!$E$60</c:f>
              <c:strCache>
                <c:ptCount val="1"/>
                <c:pt idx="0">
                  <c:v>FC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Hoja1!$B$61:$B$69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Hoja1!$E$61:$E$69</c:f>
              <c:numCache>
                <c:formatCode>General</c:formatCode>
                <c:ptCount val="9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BC-094F-B184-227DD056CB53}"/>
            </c:ext>
          </c:extLst>
        </c:ser>
        <c:ser>
          <c:idx val="3"/>
          <c:order val="3"/>
          <c:tx>
            <c:strRef>
              <c:f>Hoja1!$F$60</c:f>
              <c:strCache>
                <c:ptCount val="1"/>
                <c:pt idx="0">
                  <c:v>RQ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Hoja1!$B$61:$B$69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Hoja1!$F$61:$F$69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BC-094F-B184-227DD056CB53}"/>
            </c:ext>
          </c:extLst>
        </c:ser>
        <c:ser>
          <c:idx val="4"/>
          <c:order val="4"/>
          <c:tx>
            <c:strRef>
              <c:f>Hoja1!$G$60</c:f>
              <c:strCache>
                <c:ptCount val="1"/>
                <c:pt idx="0">
                  <c:v>JF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Hoja1!$B$61:$B$69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Hoja1!$G$61:$G$69</c:f>
              <c:numCache>
                <c:formatCode>General</c:formatCode>
                <c:ptCount val="9"/>
                <c:pt idx="0">
                  <c:v>4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BC-094F-B184-227DD056CB53}"/>
            </c:ext>
          </c:extLst>
        </c:ser>
        <c:ser>
          <c:idx val="5"/>
          <c:order val="5"/>
          <c:tx>
            <c:strRef>
              <c:f>Hoja1!$H$60</c:f>
              <c:strCache>
                <c:ptCount val="1"/>
                <c:pt idx="0">
                  <c:v>DM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Hoja1!$B$61:$B$69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Hoja1!$H$61:$H$69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0BC-094F-B184-227DD056CB53}"/>
            </c:ext>
          </c:extLst>
        </c:ser>
        <c:ser>
          <c:idx val="6"/>
          <c:order val="6"/>
          <c:tx>
            <c:strRef>
              <c:f>Hoja1!$I$60</c:f>
              <c:strCache>
                <c:ptCount val="1"/>
                <c:pt idx="0">
                  <c:v>MIG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Hoja1!$B$61:$B$69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Hoja1!$I$61:$I$69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BC-094F-B184-227DD056CB53}"/>
            </c:ext>
          </c:extLst>
        </c:ser>
        <c:ser>
          <c:idx val="7"/>
          <c:order val="7"/>
          <c:tx>
            <c:strRef>
              <c:f>Hoja1!$J$60</c:f>
              <c:strCache>
                <c:ptCount val="1"/>
                <c:pt idx="0">
                  <c:v>TS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Hoja1!$B$61:$B$69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Hoja1!$J$61:$J$69</c:f>
              <c:numCache>
                <c:formatCode>General</c:formatCode>
                <c:ptCount val="9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0BC-094F-B184-227DD056CB53}"/>
            </c:ext>
          </c:extLst>
        </c:ser>
        <c:ser>
          <c:idx val="8"/>
          <c:order val="8"/>
          <c:tx>
            <c:strRef>
              <c:f>Hoja1!$K$60</c:f>
              <c:strCache>
                <c:ptCount val="1"/>
                <c:pt idx="0">
                  <c:v>JP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Hoja1!$B$61:$B$69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Hoja1!$K$61:$K$69</c:f>
              <c:numCache>
                <c:formatCode>General</c:formatCode>
                <c:ptCount val="9"/>
                <c:pt idx="0">
                  <c:v>3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4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0BC-094F-B184-227DD056CB53}"/>
            </c:ext>
          </c:extLst>
        </c:ser>
        <c:ser>
          <c:idx val="9"/>
          <c:order val="9"/>
          <c:tx>
            <c:strRef>
              <c:f>Hoja1!$L$60</c:f>
              <c:strCache>
                <c:ptCount val="1"/>
                <c:pt idx="0">
                  <c:v>CV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Hoja1!$B$61:$B$69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Hoja1!$L$61:$L$69</c:f>
              <c:numCache>
                <c:formatCode>General</c:formatCode>
                <c:ptCount val="9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0BC-094F-B184-227DD056CB53}"/>
            </c:ext>
          </c:extLst>
        </c:ser>
        <c:ser>
          <c:idx val="10"/>
          <c:order val="10"/>
          <c:tx>
            <c:strRef>
              <c:f>Hoja1!$M$60</c:f>
              <c:strCache>
                <c:ptCount val="1"/>
                <c:pt idx="0">
                  <c:v>Prom</c:v>
                </c:pt>
              </c:strCache>
            </c:strRef>
          </c:tx>
          <c:spPr>
            <a:ln w="444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Hoja1!$B$61:$B$69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Hoja1!$M$61:$M$69</c:f>
              <c:numCache>
                <c:formatCode>0.0</c:formatCode>
                <c:ptCount val="9"/>
                <c:pt idx="0">
                  <c:v>3.6</c:v>
                </c:pt>
                <c:pt idx="1">
                  <c:v>3.2</c:v>
                </c:pt>
                <c:pt idx="2">
                  <c:v>3.1</c:v>
                </c:pt>
                <c:pt idx="3">
                  <c:v>2.5</c:v>
                </c:pt>
                <c:pt idx="4">
                  <c:v>1.4</c:v>
                </c:pt>
                <c:pt idx="5">
                  <c:v>2.2999999999999998</c:v>
                </c:pt>
                <c:pt idx="6">
                  <c:v>2.6</c:v>
                </c:pt>
                <c:pt idx="7">
                  <c:v>3</c:v>
                </c:pt>
                <c:pt idx="8">
                  <c:v>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0BC-094F-B184-227DD056C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9923184"/>
        <c:axId val="2099919968"/>
      </c:radarChart>
      <c:catAx>
        <c:axId val="209992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99919968"/>
        <c:crosses val="autoZero"/>
        <c:auto val="1"/>
        <c:lblAlgn val="ctr"/>
        <c:lblOffset val="100"/>
        <c:noMultiLvlLbl val="0"/>
      </c:catAx>
      <c:valAx>
        <c:axId val="209991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09992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Muestra 1 (fermentación 1.5x10</a:t>
            </a:r>
            <a:r>
              <a:rPr lang="es-MX" baseline="30000"/>
              <a:t>6</a:t>
            </a:r>
            <a:r>
              <a:rPr lang="es-MX"/>
              <a:t> cel/ml a 30°C))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Hoja2!$C$4</c:f>
              <c:strCache>
                <c:ptCount val="1"/>
                <c:pt idx="0">
                  <c:v>RG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Hoja2!$B$5:$B$13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Hoja2!$C$5:$C$13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B7-7E4E-BED9-5A50A4CFA3A4}"/>
            </c:ext>
          </c:extLst>
        </c:ser>
        <c:ser>
          <c:idx val="1"/>
          <c:order val="1"/>
          <c:tx>
            <c:strRef>
              <c:f>Hoja2!$D$4</c:f>
              <c:strCache>
                <c:ptCount val="1"/>
                <c:pt idx="0">
                  <c:v>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Hoja2!$B$5:$B$13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Hoja2!$D$5:$D$13</c:f>
              <c:numCache>
                <c:formatCode>General</c:formatCode>
                <c:ptCount val="9"/>
                <c:pt idx="0">
                  <c:v>3</c:v>
                </c:pt>
                <c:pt idx="1">
                  <c:v>2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B7-7E4E-BED9-5A50A4CFA3A4}"/>
            </c:ext>
          </c:extLst>
        </c:ser>
        <c:ser>
          <c:idx val="2"/>
          <c:order val="2"/>
          <c:tx>
            <c:strRef>
              <c:f>Hoja2!$E$4</c:f>
              <c:strCache>
                <c:ptCount val="1"/>
                <c:pt idx="0">
                  <c:v>FC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Hoja2!$B$5:$B$13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Hoja2!$E$5:$E$13</c:f>
              <c:numCache>
                <c:formatCode>General</c:formatCode>
                <c:ptCount val="9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B7-7E4E-BED9-5A50A4CFA3A4}"/>
            </c:ext>
          </c:extLst>
        </c:ser>
        <c:ser>
          <c:idx val="3"/>
          <c:order val="3"/>
          <c:tx>
            <c:strRef>
              <c:f>Hoja2!$F$4</c:f>
              <c:strCache>
                <c:ptCount val="1"/>
                <c:pt idx="0">
                  <c:v>JP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Hoja2!$B$5:$B$13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Hoja2!$F$5:$F$13</c:f>
              <c:numCache>
                <c:formatCode>General</c:formatCode>
                <c:ptCount val="9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B7-7E4E-BED9-5A50A4CFA3A4}"/>
            </c:ext>
          </c:extLst>
        </c:ser>
        <c:ser>
          <c:idx val="4"/>
          <c:order val="4"/>
          <c:tx>
            <c:strRef>
              <c:f>Hoja2!$G$4</c:f>
              <c:strCache>
                <c:ptCount val="1"/>
                <c:pt idx="0">
                  <c:v>CV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Hoja2!$B$5:$B$13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Hoja2!$G$5:$G$13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B7-7E4E-BED9-5A50A4CFA3A4}"/>
            </c:ext>
          </c:extLst>
        </c:ser>
        <c:ser>
          <c:idx val="5"/>
          <c:order val="5"/>
          <c:tx>
            <c:strRef>
              <c:f>Hoja2!$H$4</c:f>
              <c:strCache>
                <c:ptCount val="1"/>
                <c:pt idx="0">
                  <c:v>Prom</c:v>
                </c:pt>
              </c:strCache>
            </c:strRef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Hoja2!$B$5:$B$13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Hoja2!$H$5:$H$13</c:f>
              <c:numCache>
                <c:formatCode>General</c:formatCode>
                <c:ptCount val="9"/>
                <c:pt idx="0">
                  <c:v>3.8</c:v>
                </c:pt>
                <c:pt idx="1">
                  <c:v>2.4</c:v>
                </c:pt>
                <c:pt idx="2">
                  <c:v>2.6</c:v>
                </c:pt>
                <c:pt idx="3">
                  <c:v>1.6</c:v>
                </c:pt>
                <c:pt idx="4">
                  <c:v>1</c:v>
                </c:pt>
                <c:pt idx="5">
                  <c:v>2</c:v>
                </c:pt>
                <c:pt idx="6">
                  <c:v>1.8</c:v>
                </c:pt>
                <c:pt idx="7">
                  <c:v>2.4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B7-7E4E-BED9-5A50A4CFA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6731104"/>
        <c:axId val="69885999"/>
      </c:radarChart>
      <c:catAx>
        <c:axId val="131673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9885999"/>
        <c:crosses val="autoZero"/>
        <c:auto val="1"/>
        <c:lblAlgn val="ctr"/>
        <c:lblOffset val="100"/>
        <c:noMultiLvlLbl val="0"/>
      </c:catAx>
      <c:valAx>
        <c:axId val="6988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1673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Muestra 3 (fermentación 4.5x10</a:t>
            </a:r>
            <a:r>
              <a:rPr lang="es-MX" baseline="30000"/>
              <a:t>6</a:t>
            </a:r>
            <a:r>
              <a:rPr lang="es-MX"/>
              <a:t> cel/ml a 25°C)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Hoja2!$C$32</c:f>
              <c:strCache>
                <c:ptCount val="1"/>
                <c:pt idx="0">
                  <c:v>RG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Hoja2!$B$33:$B$41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Hoja2!$C$33:$C$41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C8-9548-8FD7-4F9B0F3B36DA}"/>
            </c:ext>
          </c:extLst>
        </c:ser>
        <c:ser>
          <c:idx val="1"/>
          <c:order val="1"/>
          <c:tx>
            <c:strRef>
              <c:f>Hoja2!$D$32</c:f>
              <c:strCache>
                <c:ptCount val="1"/>
                <c:pt idx="0">
                  <c:v>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Hoja2!$B$33:$B$41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Hoja2!$D$33:$D$41</c:f>
              <c:numCache>
                <c:formatCode>General</c:formatCode>
                <c:ptCount val="9"/>
                <c:pt idx="0">
                  <c:v>3</c:v>
                </c:pt>
                <c:pt idx="1">
                  <c:v>5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C8-9548-8FD7-4F9B0F3B36DA}"/>
            </c:ext>
          </c:extLst>
        </c:ser>
        <c:ser>
          <c:idx val="2"/>
          <c:order val="2"/>
          <c:tx>
            <c:strRef>
              <c:f>Hoja2!$E$32</c:f>
              <c:strCache>
                <c:ptCount val="1"/>
                <c:pt idx="0">
                  <c:v>FC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Hoja2!$B$33:$B$41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Hoja2!$E$33:$E$41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C8-9548-8FD7-4F9B0F3B36DA}"/>
            </c:ext>
          </c:extLst>
        </c:ser>
        <c:ser>
          <c:idx val="3"/>
          <c:order val="3"/>
          <c:tx>
            <c:strRef>
              <c:f>Hoja2!$F$32</c:f>
              <c:strCache>
                <c:ptCount val="1"/>
                <c:pt idx="0">
                  <c:v>JP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Hoja2!$B$33:$B$41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Hoja2!$F$33:$F$41</c:f>
              <c:numCache>
                <c:formatCode>General</c:formatCode>
                <c:ptCount val="9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C8-9548-8FD7-4F9B0F3B36DA}"/>
            </c:ext>
          </c:extLst>
        </c:ser>
        <c:ser>
          <c:idx val="4"/>
          <c:order val="4"/>
          <c:tx>
            <c:strRef>
              <c:f>Hoja2!$G$32</c:f>
              <c:strCache>
                <c:ptCount val="1"/>
                <c:pt idx="0">
                  <c:v>CV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Hoja2!$B$33:$B$41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Hoja2!$G$33:$G$41</c:f>
              <c:numCache>
                <c:formatCode>General</c:formatCode>
                <c:ptCount val="9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C8-9548-8FD7-4F9B0F3B36DA}"/>
            </c:ext>
          </c:extLst>
        </c:ser>
        <c:ser>
          <c:idx val="5"/>
          <c:order val="5"/>
          <c:tx>
            <c:strRef>
              <c:f>Hoja2!$H$32</c:f>
              <c:strCache>
                <c:ptCount val="1"/>
                <c:pt idx="0">
                  <c:v>Prom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Hoja2!$B$33:$B$41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Hoja2!$H$33:$H$41</c:f>
              <c:numCache>
                <c:formatCode>General</c:formatCode>
                <c:ptCount val="9"/>
                <c:pt idx="0">
                  <c:v>3</c:v>
                </c:pt>
                <c:pt idx="1">
                  <c:v>2.8</c:v>
                </c:pt>
                <c:pt idx="2">
                  <c:v>2.4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2.2000000000000002</c:v>
                </c:pt>
                <c:pt idx="8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C8-9548-8FD7-4F9B0F3B3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8283696"/>
        <c:axId val="778285968"/>
      </c:radarChart>
      <c:catAx>
        <c:axId val="77828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78285968"/>
        <c:crosses val="autoZero"/>
        <c:auto val="1"/>
        <c:lblAlgn val="ctr"/>
        <c:lblOffset val="100"/>
        <c:noMultiLvlLbl val="0"/>
      </c:catAx>
      <c:valAx>
        <c:axId val="77828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77828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Muestra 2 (fermentación 1.5x10</a:t>
            </a:r>
            <a:r>
              <a:rPr lang="es-MX" baseline="30000"/>
              <a:t>6</a:t>
            </a:r>
            <a:r>
              <a:rPr lang="es-MX"/>
              <a:t> cel/ml a 25°C)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Hoja2!$C$18</c:f>
              <c:strCache>
                <c:ptCount val="1"/>
                <c:pt idx="0">
                  <c:v>RG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Hoja2!$B$19:$B$27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Hoja2!$C$19:$C$27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0A-4D43-AF90-F75144C2A8ED}"/>
            </c:ext>
          </c:extLst>
        </c:ser>
        <c:ser>
          <c:idx val="1"/>
          <c:order val="1"/>
          <c:tx>
            <c:strRef>
              <c:f>Hoja2!$D$18</c:f>
              <c:strCache>
                <c:ptCount val="1"/>
                <c:pt idx="0">
                  <c:v>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Hoja2!$B$19:$B$27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Hoja2!$D$19:$D$27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0A-4D43-AF90-F75144C2A8ED}"/>
            </c:ext>
          </c:extLst>
        </c:ser>
        <c:ser>
          <c:idx val="2"/>
          <c:order val="2"/>
          <c:tx>
            <c:strRef>
              <c:f>Hoja2!$E$18</c:f>
              <c:strCache>
                <c:ptCount val="1"/>
                <c:pt idx="0">
                  <c:v>FC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Hoja2!$B$19:$B$27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Hoja2!$E$19:$E$27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0A-4D43-AF90-F75144C2A8ED}"/>
            </c:ext>
          </c:extLst>
        </c:ser>
        <c:ser>
          <c:idx val="3"/>
          <c:order val="3"/>
          <c:tx>
            <c:strRef>
              <c:f>Hoja2!$F$18</c:f>
              <c:strCache>
                <c:ptCount val="1"/>
                <c:pt idx="0">
                  <c:v>JP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Hoja2!$B$19:$B$27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Hoja2!$F$19:$F$27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0A-4D43-AF90-F75144C2A8ED}"/>
            </c:ext>
          </c:extLst>
        </c:ser>
        <c:ser>
          <c:idx val="4"/>
          <c:order val="4"/>
          <c:tx>
            <c:strRef>
              <c:f>Hoja2!$G$18</c:f>
              <c:strCache>
                <c:ptCount val="1"/>
                <c:pt idx="0">
                  <c:v>CV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Hoja2!$B$19:$B$27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Hoja2!$G$19:$G$27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0A-4D43-AF90-F75144C2A8ED}"/>
            </c:ext>
          </c:extLst>
        </c:ser>
        <c:ser>
          <c:idx val="5"/>
          <c:order val="5"/>
          <c:tx>
            <c:strRef>
              <c:f>Hoja2!$H$18</c:f>
              <c:strCache>
                <c:ptCount val="1"/>
                <c:pt idx="0">
                  <c:v>Prom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Hoja2!$B$19:$B$27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Hoja2!$H$19:$H$27</c:f>
              <c:numCache>
                <c:formatCode>General</c:formatCode>
                <c:ptCount val="9"/>
                <c:pt idx="0">
                  <c:v>3.6</c:v>
                </c:pt>
                <c:pt idx="1">
                  <c:v>3.6</c:v>
                </c:pt>
                <c:pt idx="2">
                  <c:v>1.6</c:v>
                </c:pt>
                <c:pt idx="3">
                  <c:v>2.4</c:v>
                </c:pt>
                <c:pt idx="4">
                  <c:v>1.2</c:v>
                </c:pt>
                <c:pt idx="5">
                  <c:v>1.8</c:v>
                </c:pt>
                <c:pt idx="6">
                  <c:v>1.4</c:v>
                </c:pt>
                <c:pt idx="7">
                  <c:v>2.2000000000000002</c:v>
                </c:pt>
                <c:pt idx="8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0A-4D43-AF90-F75144C2A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032560"/>
        <c:axId val="1048034832"/>
      </c:radarChart>
      <c:catAx>
        <c:axId val="104803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48034832"/>
        <c:crosses val="autoZero"/>
        <c:auto val="1"/>
        <c:lblAlgn val="ctr"/>
        <c:lblOffset val="100"/>
        <c:noMultiLvlLbl val="0"/>
      </c:catAx>
      <c:valAx>
        <c:axId val="104803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4803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Muestra 4 (fermentación 4.5x10</a:t>
            </a:r>
            <a:r>
              <a:rPr lang="es-MX" baseline="30000"/>
              <a:t>6</a:t>
            </a:r>
            <a:r>
              <a:rPr lang="es-MX"/>
              <a:t> cel/ml a 30°C)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Hoja2!$C$46</c:f>
              <c:strCache>
                <c:ptCount val="1"/>
                <c:pt idx="0">
                  <c:v>RG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Hoja2!$B$47:$B$55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Hoja2!$C$47:$C$55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3B-064B-A647-3E34239B3C69}"/>
            </c:ext>
          </c:extLst>
        </c:ser>
        <c:ser>
          <c:idx val="1"/>
          <c:order val="1"/>
          <c:tx>
            <c:strRef>
              <c:f>Hoja2!$D$46</c:f>
              <c:strCache>
                <c:ptCount val="1"/>
                <c:pt idx="0">
                  <c:v>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Hoja2!$B$47:$B$55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Hoja2!$D$47:$D$55</c:f>
              <c:numCache>
                <c:formatCode>General</c:formatCode>
                <c:ptCount val="9"/>
                <c:pt idx="0">
                  <c:v>4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3B-064B-A647-3E34239B3C69}"/>
            </c:ext>
          </c:extLst>
        </c:ser>
        <c:ser>
          <c:idx val="2"/>
          <c:order val="2"/>
          <c:tx>
            <c:strRef>
              <c:f>Hoja2!$E$46</c:f>
              <c:strCache>
                <c:ptCount val="1"/>
                <c:pt idx="0">
                  <c:v>FC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Hoja2!$B$47:$B$55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Hoja2!$E$47:$E$55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3B-064B-A647-3E34239B3C69}"/>
            </c:ext>
          </c:extLst>
        </c:ser>
        <c:ser>
          <c:idx val="3"/>
          <c:order val="3"/>
          <c:tx>
            <c:strRef>
              <c:f>Hoja2!$F$46</c:f>
              <c:strCache>
                <c:ptCount val="1"/>
                <c:pt idx="0">
                  <c:v>JP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Hoja2!$B$47:$B$55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Hoja2!$F$47:$F$55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3B-064B-A647-3E34239B3C69}"/>
            </c:ext>
          </c:extLst>
        </c:ser>
        <c:ser>
          <c:idx val="4"/>
          <c:order val="4"/>
          <c:tx>
            <c:strRef>
              <c:f>Hoja2!$G$46</c:f>
              <c:strCache>
                <c:ptCount val="1"/>
                <c:pt idx="0">
                  <c:v>CV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Hoja2!$B$47:$B$55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Hoja2!$G$47:$G$55</c:f>
              <c:numCache>
                <c:formatCode>General</c:formatCode>
                <c:ptCount val="9"/>
                <c:pt idx="0">
                  <c:v>5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3B-064B-A647-3E34239B3C69}"/>
            </c:ext>
          </c:extLst>
        </c:ser>
        <c:ser>
          <c:idx val="5"/>
          <c:order val="5"/>
          <c:tx>
            <c:strRef>
              <c:f>Hoja2!$H$46</c:f>
              <c:strCache>
                <c:ptCount val="1"/>
                <c:pt idx="0">
                  <c:v>Prom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Hoja2!$B$47:$B$55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Hoja2!$H$47:$H$55</c:f>
              <c:numCache>
                <c:formatCode>General</c:formatCode>
                <c:ptCount val="9"/>
                <c:pt idx="0">
                  <c:v>3.6</c:v>
                </c:pt>
                <c:pt idx="1">
                  <c:v>3</c:v>
                </c:pt>
                <c:pt idx="2">
                  <c:v>3</c:v>
                </c:pt>
                <c:pt idx="3">
                  <c:v>2.2000000000000002</c:v>
                </c:pt>
                <c:pt idx="4">
                  <c:v>1.2</c:v>
                </c:pt>
                <c:pt idx="5">
                  <c:v>1.8</c:v>
                </c:pt>
                <c:pt idx="6">
                  <c:v>2.6</c:v>
                </c:pt>
                <c:pt idx="7">
                  <c:v>2.4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3B-064B-A647-3E34239B3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895520"/>
        <c:axId val="511843808"/>
      </c:radarChart>
      <c:catAx>
        <c:axId val="51189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11843808"/>
        <c:crosses val="autoZero"/>
        <c:auto val="1"/>
        <c:lblAlgn val="ctr"/>
        <c:lblOffset val="100"/>
        <c:noMultiLvlLbl val="0"/>
      </c:catAx>
      <c:valAx>
        <c:axId val="51184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1189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Muestra 5 (Prototipo; 1.5x10</a:t>
            </a:r>
            <a:r>
              <a:rPr lang="es-MX" baseline="30000"/>
              <a:t>6</a:t>
            </a:r>
            <a:r>
              <a:rPr lang="es-MX"/>
              <a:t> cel/ml a 25°C)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Hoja2!$C$60</c:f>
              <c:strCache>
                <c:ptCount val="1"/>
                <c:pt idx="0">
                  <c:v>RG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Hoja2!$B$61:$B$69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Hoja2!$C$61:$C$69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7-5A46-8B32-DA16B3BD6C84}"/>
            </c:ext>
          </c:extLst>
        </c:ser>
        <c:ser>
          <c:idx val="1"/>
          <c:order val="1"/>
          <c:tx>
            <c:strRef>
              <c:f>Hoja2!$D$60</c:f>
              <c:strCache>
                <c:ptCount val="1"/>
                <c:pt idx="0">
                  <c:v>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Hoja2!$B$61:$B$69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Hoja2!$D$61:$D$69</c:f>
              <c:numCache>
                <c:formatCode>General</c:formatCode>
                <c:ptCount val="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4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E7-5A46-8B32-DA16B3BD6C84}"/>
            </c:ext>
          </c:extLst>
        </c:ser>
        <c:ser>
          <c:idx val="2"/>
          <c:order val="2"/>
          <c:tx>
            <c:strRef>
              <c:f>Hoja2!$E$60</c:f>
              <c:strCache>
                <c:ptCount val="1"/>
                <c:pt idx="0">
                  <c:v>FC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Hoja2!$B$61:$B$69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Hoja2!$E$61:$E$69</c:f>
              <c:numCache>
                <c:formatCode>General</c:formatCode>
                <c:ptCount val="9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E7-5A46-8B32-DA16B3BD6C84}"/>
            </c:ext>
          </c:extLst>
        </c:ser>
        <c:ser>
          <c:idx val="3"/>
          <c:order val="3"/>
          <c:tx>
            <c:strRef>
              <c:f>Hoja2!$F$60</c:f>
              <c:strCache>
                <c:ptCount val="1"/>
                <c:pt idx="0">
                  <c:v>JP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Hoja2!$B$61:$B$69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Hoja2!$F$61:$F$69</c:f>
              <c:numCache>
                <c:formatCode>General</c:formatCode>
                <c:ptCount val="9"/>
                <c:pt idx="0">
                  <c:v>3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4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E7-5A46-8B32-DA16B3BD6C84}"/>
            </c:ext>
          </c:extLst>
        </c:ser>
        <c:ser>
          <c:idx val="4"/>
          <c:order val="4"/>
          <c:tx>
            <c:strRef>
              <c:f>Hoja2!$G$60</c:f>
              <c:strCache>
                <c:ptCount val="1"/>
                <c:pt idx="0">
                  <c:v>CV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Hoja2!$B$61:$B$69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Hoja2!$G$61:$G$69</c:f>
              <c:numCache>
                <c:formatCode>General</c:formatCode>
                <c:ptCount val="9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E7-5A46-8B32-DA16B3BD6C84}"/>
            </c:ext>
          </c:extLst>
        </c:ser>
        <c:ser>
          <c:idx val="5"/>
          <c:order val="5"/>
          <c:tx>
            <c:strRef>
              <c:f>Hoja2!$H$60</c:f>
              <c:strCache>
                <c:ptCount val="1"/>
                <c:pt idx="0">
                  <c:v>Prom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Hoja2!$B$61:$B$69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Hoja2!$H$61:$H$69</c:f>
              <c:numCache>
                <c:formatCode>General</c:formatCode>
                <c:ptCount val="9"/>
                <c:pt idx="0">
                  <c:v>3.6</c:v>
                </c:pt>
                <c:pt idx="1">
                  <c:v>3.4</c:v>
                </c:pt>
                <c:pt idx="2">
                  <c:v>3.2</c:v>
                </c:pt>
                <c:pt idx="3">
                  <c:v>2.4</c:v>
                </c:pt>
                <c:pt idx="4">
                  <c:v>1.6</c:v>
                </c:pt>
                <c:pt idx="5">
                  <c:v>1.8</c:v>
                </c:pt>
                <c:pt idx="6">
                  <c:v>1.8</c:v>
                </c:pt>
                <c:pt idx="7">
                  <c:v>2.6</c:v>
                </c:pt>
                <c:pt idx="8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2E7-5A46-8B32-DA16B3BD6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116192"/>
        <c:axId val="1048117920"/>
      </c:radarChart>
      <c:catAx>
        <c:axId val="104811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48117920"/>
        <c:crosses val="autoZero"/>
        <c:auto val="1"/>
        <c:lblAlgn val="ctr"/>
        <c:lblOffset val="100"/>
        <c:noMultiLvlLbl val="0"/>
      </c:catAx>
      <c:valAx>
        <c:axId val="104811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4811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Muestra 1 (fermentación 1.5x10</a:t>
            </a:r>
            <a:r>
              <a:rPr lang="es-MX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6</a:t>
            </a: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cel/ml a 30°C))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Hoja2!$K$4</c:f>
              <c:strCache>
                <c:ptCount val="1"/>
                <c:pt idx="0">
                  <c:v>JF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Hoja2!$J$5:$J$13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Hoja2!$K$5:$K$13</c:f>
              <c:numCache>
                <c:formatCode>General</c:formatCode>
                <c:ptCount val="9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7-5741-B3F8-028E9E48BF6F}"/>
            </c:ext>
          </c:extLst>
        </c:ser>
        <c:ser>
          <c:idx val="1"/>
          <c:order val="1"/>
          <c:tx>
            <c:strRef>
              <c:f>Hoja2!$L$4</c:f>
              <c:strCache>
                <c:ptCount val="1"/>
                <c:pt idx="0">
                  <c:v>DM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Hoja2!$J$5:$J$13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Hoja2!$L$5:$L$13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77-5741-B3F8-028E9E48BF6F}"/>
            </c:ext>
          </c:extLst>
        </c:ser>
        <c:ser>
          <c:idx val="2"/>
          <c:order val="2"/>
          <c:tx>
            <c:strRef>
              <c:f>Hoja2!$M$4</c:f>
              <c:strCache>
                <c:ptCount val="1"/>
                <c:pt idx="0">
                  <c:v>MIG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Hoja2!$J$5:$J$13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Hoja2!$M$5:$M$13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77-5741-B3F8-028E9E48BF6F}"/>
            </c:ext>
          </c:extLst>
        </c:ser>
        <c:ser>
          <c:idx val="3"/>
          <c:order val="3"/>
          <c:tx>
            <c:strRef>
              <c:f>Hoja2!$N$4</c:f>
              <c:strCache>
                <c:ptCount val="1"/>
                <c:pt idx="0">
                  <c:v>RQ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Hoja2!$J$5:$J$13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Hoja2!$N$5:$N$13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77-5741-B3F8-028E9E48BF6F}"/>
            </c:ext>
          </c:extLst>
        </c:ser>
        <c:ser>
          <c:idx val="4"/>
          <c:order val="4"/>
          <c:tx>
            <c:strRef>
              <c:f>Hoja2!$O$4</c:f>
              <c:strCache>
                <c:ptCount val="1"/>
                <c:pt idx="0">
                  <c:v>TS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Hoja2!$J$5:$J$13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Hoja2!$O$5:$O$13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77-5741-B3F8-028E9E48BF6F}"/>
            </c:ext>
          </c:extLst>
        </c:ser>
        <c:ser>
          <c:idx val="5"/>
          <c:order val="5"/>
          <c:tx>
            <c:strRef>
              <c:f>Hoja2!$P$4</c:f>
              <c:strCache>
                <c:ptCount val="1"/>
                <c:pt idx="0">
                  <c:v>Prom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Hoja2!$J$5:$J$13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Hoja2!$P$5:$P$13</c:f>
              <c:numCache>
                <c:formatCode>General</c:formatCode>
                <c:ptCount val="9"/>
                <c:pt idx="0">
                  <c:v>3.6</c:v>
                </c:pt>
                <c:pt idx="1">
                  <c:v>2.8</c:v>
                </c:pt>
                <c:pt idx="2">
                  <c:v>2.4</c:v>
                </c:pt>
                <c:pt idx="3">
                  <c:v>2.6</c:v>
                </c:pt>
                <c:pt idx="4">
                  <c:v>1.2</c:v>
                </c:pt>
                <c:pt idx="5">
                  <c:v>2.2000000000000002</c:v>
                </c:pt>
                <c:pt idx="6">
                  <c:v>3.8</c:v>
                </c:pt>
                <c:pt idx="7">
                  <c:v>2</c:v>
                </c:pt>
                <c:pt idx="8">
                  <c:v>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77-5741-B3F8-028E9E48B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472544"/>
        <c:axId val="511438192"/>
      </c:radarChart>
      <c:catAx>
        <c:axId val="51147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11438192"/>
        <c:crosses val="autoZero"/>
        <c:auto val="1"/>
        <c:lblAlgn val="ctr"/>
        <c:lblOffset val="100"/>
        <c:noMultiLvlLbl val="0"/>
      </c:catAx>
      <c:valAx>
        <c:axId val="511438192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1147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Muestra 2 (fermentación 1.5x10</a:t>
            </a:r>
            <a:r>
              <a:rPr lang="es-MX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6</a:t>
            </a: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cel/ml a 25°C)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Hoja2!$K$18</c:f>
              <c:strCache>
                <c:ptCount val="1"/>
                <c:pt idx="0">
                  <c:v>JF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Hoja2!$J$19:$J$27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Hoja2!$K$19:$K$27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1-9B46-A6F1-372952F0A398}"/>
            </c:ext>
          </c:extLst>
        </c:ser>
        <c:ser>
          <c:idx val="1"/>
          <c:order val="1"/>
          <c:tx>
            <c:strRef>
              <c:f>Hoja2!$L$18</c:f>
              <c:strCache>
                <c:ptCount val="1"/>
                <c:pt idx="0">
                  <c:v>DM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Hoja2!$J$19:$J$27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Hoja2!$L$19:$L$27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2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B1-9B46-A6F1-372952F0A398}"/>
            </c:ext>
          </c:extLst>
        </c:ser>
        <c:ser>
          <c:idx val="2"/>
          <c:order val="2"/>
          <c:tx>
            <c:strRef>
              <c:f>Hoja2!$M$18</c:f>
              <c:strCache>
                <c:ptCount val="1"/>
                <c:pt idx="0">
                  <c:v>MIG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Hoja2!$J$19:$J$27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Hoja2!$M$19:$M$27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  <c:pt idx="6">
                  <c:v>1</c:v>
                </c:pt>
                <c:pt idx="7">
                  <c:v>4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B1-9B46-A6F1-372952F0A398}"/>
            </c:ext>
          </c:extLst>
        </c:ser>
        <c:ser>
          <c:idx val="3"/>
          <c:order val="3"/>
          <c:tx>
            <c:strRef>
              <c:f>Hoja2!$N$18</c:f>
              <c:strCache>
                <c:ptCount val="1"/>
                <c:pt idx="0">
                  <c:v>RQ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Hoja2!$J$19:$J$27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Hoja2!$N$19:$N$27</c:f>
              <c:numCache>
                <c:formatCode>General</c:formatCode>
                <c:ptCount val="9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B1-9B46-A6F1-372952F0A398}"/>
            </c:ext>
          </c:extLst>
        </c:ser>
        <c:ser>
          <c:idx val="4"/>
          <c:order val="4"/>
          <c:tx>
            <c:strRef>
              <c:f>Hoja2!$O$18</c:f>
              <c:strCache>
                <c:ptCount val="1"/>
                <c:pt idx="0">
                  <c:v>TS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Hoja2!$J$19:$J$27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Hoja2!$O$19:$O$27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B1-9B46-A6F1-372952F0A398}"/>
            </c:ext>
          </c:extLst>
        </c:ser>
        <c:ser>
          <c:idx val="5"/>
          <c:order val="5"/>
          <c:tx>
            <c:strRef>
              <c:f>Hoja2!$P$18</c:f>
              <c:strCache>
                <c:ptCount val="1"/>
                <c:pt idx="0">
                  <c:v>Prom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Hoja2!$J$19:$J$27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Hoja2!$P$19:$P$27</c:f>
              <c:numCache>
                <c:formatCode>0.0</c:formatCode>
                <c:ptCount val="9"/>
                <c:pt idx="0">
                  <c:v>3.2</c:v>
                </c:pt>
                <c:pt idx="1">
                  <c:v>3</c:v>
                </c:pt>
                <c:pt idx="2">
                  <c:v>2.4</c:v>
                </c:pt>
                <c:pt idx="3">
                  <c:v>3</c:v>
                </c:pt>
                <c:pt idx="4">
                  <c:v>1.2</c:v>
                </c:pt>
                <c:pt idx="5">
                  <c:v>2.2000000000000002</c:v>
                </c:pt>
                <c:pt idx="6">
                  <c:v>2.8</c:v>
                </c:pt>
                <c:pt idx="7">
                  <c:v>2.6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B1-9B46-A6F1-372952F0A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918575"/>
        <c:axId val="470920303"/>
      </c:radarChart>
      <c:catAx>
        <c:axId val="47091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70920303"/>
        <c:crosses val="autoZero"/>
        <c:auto val="1"/>
        <c:lblAlgn val="ctr"/>
        <c:lblOffset val="100"/>
        <c:noMultiLvlLbl val="0"/>
      </c:catAx>
      <c:valAx>
        <c:axId val="47092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7091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Muestra 3 (fermentación 4.5x10</a:t>
            </a:r>
            <a:r>
              <a:rPr lang="es-MX" baseline="30000"/>
              <a:t>6</a:t>
            </a:r>
            <a:r>
              <a:rPr lang="es-MX"/>
              <a:t> cel/ml a 25°C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Hoja2!$K$32</c:f>
              <c:strCache>
                <c:ptCount val="1"/>
                <c:pt idx="0">
                  <c:v>JF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Hoja2!$J$33:$J$41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Hoja2!$K$33:$K$41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A1-8148-AA61-7498A2517429}"/>
            </c:ext>
          </c:extLst>
        </c:ser>
        <c:ser>
          <c:idx val="1"/>
          <c:order val="1"/>
          <c:tx>
            <c:strRef>
              <c:f>Hoja2!$L$32</c:f>
              <c:strCache>
                <c:ptCount val="1"/>
                <c:pt idx="0">
                  <c:v>DM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Hoja2!$J$33:$J$41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Hoja2!$L$33:$L$41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A1-8148-AA61-7498A2517429}"/>
            </c:ext>
          </c:extLst>
        </c:ser>
        <c:ser>
          <c:idx val="2"/>
          <c:order val="2"/>
          <c:tx>
            <c:strRef>
              <c:f>Hoja2!$M$32</c:f>
              <c:strCache>
                <c:ptCount val="1"/>
                <c:pt idx="0">
                  <c:v>MIG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Hoja2!$J$33:$J$41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Hoja2!$M$33:$M$41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A1-8148-AA61-7498A2517429}"/>
            </c:ext>
          </c:extLst>
        </c:ser>
        <c:ser>
          <c:idx val="3"/>
          <c:order val="3"/>
          <c:tx>
            <c:strRef>
              <c:f>Hoja2!$N$32</c:f>
              <c:strCache>
                <c:ptCount val="1"/>
                <c:pt idx="0">
                  <c:v>RQ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Hoja2!$J$33:$J$41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Hoja2!$N$33:$N$41</c:f>
              <c:numCache>
                <c:formatCode>General</c:formatCode>
                <c:ptCount val="9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A1-8148-AA61-7498A2517429}"/>
            </c:ext>
          </c:extLst>
        </c:ser>
        <c:ser>
          <c:idx val="4"/>
          <c:order val="4"/>
          <c:tx>
            <c:strRef>
              <c:f>Hoja2!$O$32</c:f>
              <c:strCache>
                <c:ptCount val="1"/>
                <c:pt idx="0">
                  <c:v>TS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Hoja2!$J$33:$J$41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Hoja2!$O$33:$O$41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  <c:pt idx="7">
                  <c:v>2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A1-8148-AA61-7498A2517429}"/>
            </c:ext>
          </c:extLst>
        </c:ser>
        <c:ser>
          <c:idx val="5"/>
          <c:order val="5"/>
          <c:tx>
            <c:strRef>
              <c:f>Hoja2!$P$32</c:f>
              <c:strCache>
                <c:ptCount val="1"/>
                <c:pt idx="0">
                  <c:v>Prom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Hoja2!$J$33:$J$41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Hoja2!$P$33:$P$41</c:f>
              <c:numCache>
                <c:formatCode>0.0</c:formatCode>
                <c:ptCount val="9"/>
                <c:pt idx="0">
                  <c:v>3.0909090909090908</c:v>
                </c:pt>
                <c:pt idx="1">
                  <c:v>2.8909090909090911</c:v>
                </c:pt>
                <c:pt idx="2">
                  <c:v>2.3090909090909091</c:v>
                </c:pt>
                <c:pt idx="3">
                  <c:v>2.1818181818181817</c:v>
                </c:pt>
                <c:pt idx="4">
                  <c:v>1.0909090909090908</c:v>
                </c:pt>
                <c:pt idx="5">
                  <c:v>1.8181818181818181</c:v>
                </c:pt>
                <c:pt idx="6">
                  <c:v>2.4545454545454546</c:v>
                </c:pt>
                <c:pt idx="7">
                  <c:v>2.3818181818181818</c:v>
                </c:pt>
                <c:pt idx="8">
                  <c:v>2.4181818181818184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AA1-8148-AA61-7498A2517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4952911"/>
        <c:axId val="294913727"/>
      </c:radarChart>
      <c:catAx>
        <c:axId val="294952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94913727"/>
        <c:crosses val="autoZero"/>
        <c:auto val="1"/>
        <c:lblAlgn val="ctr"/>
        <c:lblOffset val="100"/>
        <c:noMultiLvlLbl val="0"/>
      </c:catAx>
      <c:valAx>
        <c:axId val="29491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94952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Muestra 4 (fermentación 4.5x10</a:t>
            </a:r>
            <a:r>
              <a:rPr lang="es-MX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6</a:t>
            </a: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cel/ml a 30°C)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Hoja2!$K$46</c:f>
              <c:strCache>
                <c:ptCount val="1"/>
                <c:pt idx="0">
                  <c:v>JF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Hoja2!$J$47:$J$55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Hoja2!$K$47:$K$55</c:f>
              <c:numCache>
                <c:formatCode>General</c:formatCode>
                <c:ptCount val="9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E-5D48-AE3B-9531D1E03FA6}"/>
            </c:ext>
          </c:extLst>
        </c:ser>
        <c:ser>
          <c:idx val="1"/>
          <c:order val="1"/>
          <c:tx>
            <c:strRef>
              <c:f>Hoja2!$L$46</c:f>
              <c:strCache>
                <c:ptCount val="1"/>
                <c:pt idx="0">
                  <c:v>DM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Hoja2!$J$47:$J$55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Hoja2!$L$47:$L$55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2E-5D48-AE3B-9531D1E03FA6}"/>
            </c:ext>
          </c:extLst>
        </c:ser>
        <c:ser>
          <c:idx val="2"/>
          <c:order val="2"/>
          <c:tx>
            <c:strRef>
              <c:f>Hoja2!$M$46</c:f>
              <c:strCache>
                <c:ptCount val="1"/>
                <c:pt idx="0">
                  <c:v>MIG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Hoja2!$J$47:$J$55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Hoja2!$M$47:$M$55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5</c:v>
                </c:pt>
                <c:pt idx="7">
                  <c:v>2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2E-5D48-AE3B-9531D1E03FA6}"/>
            </c:ext>
          </c:extLst>
        </c:ser>
        <c:ser>
          <c:idx val="3"/>
          <c:order val="3"/>
          <c:tx>
            <c:strRef>
              <c:f>Hoja2!$N$46</c:f>
              <c:strCache>
                <c:ptCount val="1"/>
                <c:pt idx="0">
                  <c:v>RQ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Hoja2!$J$47:$J$55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Hoja2!$N$47:$N$55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2E-5D48-AE3B-9531D1E03FA6}"/>
            </c:ext>
          </c:extLst>
        </c:ser>
        <c:ser>
          <c:idx val="4"/>
          <c:order val="4"/>
          <c:tx>
            <c:strRef>
              <c:f>Hoja2!$O$46</c:f>
              <c:strCache>
                <c:ptCount val="1"/>
                <c:pt idx="0">
                  <c:v>TS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Hoja2!$J$47:$J$55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Hoja2!$O$47:$O$55</c:f>
              <c:numCache>
                <c:formatCode>General</c:formatCode>
                <c:ptCount val="9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2E-5D48-AE3B-9531D1E03FA6}"/>
            </c:ext>
          </c:extLst>
        </c:ser>
        <c:ser>
          <c:idx val="5"/>
          <c:order val="5"/>
          <c:tx>
            <c:strRef>
              <c:f>Hoja2!$P$46</c:f>
              <c:strCache>
                <c:ptCount val="1"/>
                <c:pt idx="0">
                  <c:v>Prom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Hoja2!$J$47:$J$55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Hoja2!$P$47:$P$55</c:f>
              <c:numCache>
                <c:formatCode>0.0</c:formatCode>
                <c:ptCount val="9"/>
                <c:pt idx="0">
                  <c:v>3.872727272727273</c:v>
                </c:pt>
                <c:pt idx="1">
                  <c:v>3.0909090909090908</c:v>
                </c:pt>
                <c:pt idx="2">
                  <c:v>2.5454545454545454</c:v>
                </c:pt>
                <c:pt idx="3">
                  <c:v>2.1999999999999997</c:v>
                </c:pt>
                <c:pt idx="4">
                  <c:v>1.2</c:v>
                </c:pt>
                <c:pt idx="5">
                  <c:v>2.0727272727272728</c:v>
                </c:pt>
                <c:pt idx="6">
                  <c:v>3.1454545454545455</c:v>
                </c:pt>
                <c:pt idx="7">
                  <c:v>2.6727272727272724</c:v>
                </c:pt>
                <c:pt idx="8">
                  <c:v>2.6363636363636362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42E-5D48-AE3B-9531D1E03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515168"/>
        <c:axId val="117727343"/>
      </c:radarChart>
      <c:catAx>
        <c:axId val="104851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7727343"/>
        <c:crosses val="autoZero"/>
        <c:auto val="1"/>
        <c:lblAlgn val="ctr"/>
        <c:lblOffset val="100"/>
        <c:noMultiLvlLbl val="0"/>
      </c:catAx>
      <c:valAx>
        <c:axId val="11772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4851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Muestra 5 (Prototipo; 1.5x10</a:t>
            </a:r>
            <a:r>
              <a:rPr lang="es-MX" sz="1400" b="0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6</a:t>
            </a: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cel/ml a 25°C)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Hoja2!$K$60</c:f>
              <c:strCache>
                <c:ptCount val="1"/>
                <c:pt idx="0">
                  <c:v>JF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Hoja2!$J$61:$J$69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Hoja2!$K$61:$K$69</c:f>
              <c:numCache>
                <c:formatCode>General</c:formatCode>
                <c:ptCount val="9"/>
                <c:pt idx="0">
                  <c:v>4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D-1849-883F-99098248D165}"/>
            </c:ext>
          </c:extLst>
        </c:ser>
        <c:ser>
          <c:idx val="1"/>
          <c:order val="1"/>
          <c:tx>
            <c:strRef>
              <c:f>Hoja2!$L$60</c:f>
              <c:strCache>
                <c:ptCount val="1"/>
                <c:pt idx="0">
                  <c:v>DM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Hoja2!$J$61:$J$69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Hoja2!$L$61:$L$69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3D-1849-883F-99098248D165}"/>
            </c:ext>
          </c:extLst>
        </c:ser>
        <c:ser>
          <c:idx val="2"/>
          <c:order val="2"/>
          <c:tx>
            <c:strRef>
              <c:f>Hoja2!$M$60</c:f>
              <c:strCache>
                <c:ptCount val="1"/>
                <c:pt idx="0">
                  <c:v>MIG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Hoja2!$J$61:$J$69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Hoja2!$M$61:$M$69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3D-1849-883F-99098248D165}"/>
            </c:ext>
          </c:extLst>
        </c:ser>
        <c:ser>
          <c:idx val="3"/>
          <c:order val="3"/>
          <c:tx>
            <c:strRef>
              <c:f>Hoja2!$N$60</c:f>
              <c:strCache>
                <c:ptCount val="1"/>
                <c:pt idx="0">
                  <c:v>RQ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Hoja2!$J$61:$J$69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Hoja2!$N$61:$N$69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3D-1849-883F-99098248D165}"/>
            </c:ext>
          </c:extLst>
        </c:ser>
        <c:ser>
          <c:idx val="4"/>
          <c:order val="4"/>
          <c:tx>
            <c:strRef>
              <c:f>Hoja2!$O$60</c:f>
              <c:strCache>
                <c:ptCount val="1"/>
                <c:pt idx="0">
                  <c:v>TS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Hoja2!$J$61:$J$69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Hoja2!$O$61:$O$69</c:f>
              <c:numCache>
                <c:formatCode>General</c:formatCode>
                <c:ptCount val="9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3D-1849-883F-99098248D165}"/>
            </c:ext>
          </c:extLst>
        </c:ser>
        <c:ser>
          <c:idx val="5"/>
          <c:order val="5"/>
          <c:tx>
            <c:strRef>
              <c:f>Hoja2!$P$60</c:f>
              <c:strCache>
                <c:ptCount val="1"/>
                <c:pt idx="0">
                  <c:v>Prom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Hoja2!$J$61:$J$69</c:f>
              <c:strCache>
                <c:ptCount val="9"/>
                <c:pt idx="0">
                  <c:v>Intensidad</c:v>
                </c:pt>
                <c:pt idx="1">
                  <c:v>Frutal</c:v>
                </c:pt>
                <c:pt idx="2">
                  <c:v>Floral</c:v>
                </c:pt>
                <c:pt idx="3">
                  <c:v>Nuez</c:v>
                </c:pt>
                <c:pt idx="4">
                  <c:v>Sulfuroso</c:v>
                </c:pt>
                <c:pt idx="5">
                  <c:v>Mantecoso</c:v>
                </c:pt>
                <c:pt idx="6">
                  <c:v>Maltoso</c:v>
                </c:pt>
                <c:pt idx="7">
                  <c:v>Caramelo</c:v>
                </c:pt>
                <c:pt idx="8">
                  <c:v>Fenólico</c:v>
                </c:pt>
              </c:strCache>
            </c:strRef>
          </c:cat>
          <c:val>
            <c:numRef>
              <c:f>Hoja2!$P$61:$P$69</c:f>
              <c:numCache>
                <c:formatCode>0.0</c:formatCode>
                <c:ptCount val="9"/>
                <c:pt idx="0">
                  <c:v>3.6</c:v>
                </c:pt>
                <c:pt idx="1">
                  <c:v>3.2181818181818183</c:v>
                </c:pt>
                <c:pt idx="2">
                  <c:v>3.1090909090909093</c:v>
                </c:pt>
                <c:pt idx="3">
                  <c:v>2.4909090909090907</c:v>
                </c:pt>
                <c:pt idx="4">
                  <c:v>1.4181818181818182</c:v>
                </c:pt>
                <c:pt idx="5">
                  <c:v>2.2545454545454544</c:v>
                </c:pt>
                <c:pt idx="6">
                  <c:v>2.5272727272727273</c:v>
                </c:pt>
                <c:pt idx="7">
                  <c:v>2.9636363636363638</c:v>
                </c:pt>
                <c:pt idx="8">
                  <c:v>2.872727272727273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3D-1849-883F-99098248D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1745103"/>
        <c:axId val="471746831"/>
      </c:radarChart>
      <c:catAx>
        <c:axId val="47174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71746831"/>
        <c:crosses val="autoZero"/>
        <c:auto val="1"/>
        <c:lblAlgn val="ctr"/>
        <c:lblOffset val="100"/>
        <c:noMultiLvlLbl val="0"/>
      </c:catAx>
      <c:valAx>
        <c:axId val="47174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71745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618672</xdr:colOff>
      <xdr:row>1</xdr:row>
      <xdr:rowOff>20260</xdr:rowOff>
    </xdr:from>
    <xdr:to>
      <xdr:col>17</xdr:col>
      <xdr:colOff>405493</xdr:colOff>
      <xdr:row>13</xdr:row>
      <xdr:rowOff>147260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FE6AD2-A092-4A43-A321-1B0A9B3CDE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819150</xdr:colOff>
      <xdr:row>14</xdr:row>
      <xdr:rowOff>0</xdr:rowOff>
    </xdr:from>
    <xdr:to>
      <xdr:col>17</xdr:col>
      <xdr:colOff>596900</xdr:colOff>
      <xdr:row>28</xdr:row>
      <xdr:rowOff>190500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14DD1D9-1752-40BF-8FF9-F3FD784587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19050</xdr:colOff>
      <xdr:row>29</xdr:row>
      <xdr:rowOff>76200</xdr:rowOff>
    </xdr:from>
    <xdr:to>
      <xdr:col>17</xdr:col>
      <xdr:colOff>622300</xdr:colOff>
      <xdr:row>43</xdr:row>
      <xdr:rowOff>50800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DDAEF02-C09C-46BA-9658-34E6D109D0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6350</xdr:colOff>
      <xdr:row>43</xdr:row>
      <xdr:rowOff>165100</xdr:rowOff>
    </xdr:from>
    <xdr:to>
      <xdr:col>17</xdr:col>
      <xdr:colOff>711200</xdr:colOff>
      <xdr:row>58</xdr:row>
      <xdr:rowOff>12700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DDDDAA5-4CED-42FA-A907-891FB0EED0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6350</xdr:colOff>
      <xdr:row>57</xdr:row>
      <xdr:rowOff>139700</xdr:rowOff>
    </xdr:from>
    <xdr:to>
      <xdr:col>17</xdr:col>
      <xdr:colOff>711200</xdr:colOff>
      <xdr:row>72</xdr:row>
      <xdr:rowOff>127000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9B8B785-B37F-4DC8-B4A6-72697533E2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6350</xdr:colOff>
      <xdr:row>1</xdr:row>
      <xdr:rowOff>12700</xdr:rowOff>
    </xdr:from>
    <xdr:to>
      <xdr:col>19</xdr:col>
      <xdr:colOff>609600</xdr:colOff>
      <xdr:row>15</xdr:row>
      <xdr:rowOff>139700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8611C13-745D-FC81-9A26-5EEA9AE05D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819150</xdr:colOff>
      <xdr:row>16</xdr:row>
      <xdr:rowOff>0</xdr:rowOff>
    </xdr:from>
    <xdr:to>
      <xdr:col>19</xdr:col>
      <xdr:colOff>596900</xdr:colOff>
      <xdr:row>30</xdr:row>
      <xdr:rowOff>190500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A55EC81-2D7C-9763-DBF6-002C0B72F9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19050</xdr:colOff>
      <xdr:row>31</xdr:row>
      <xdr:rowOff>76200</xdr:rowOff>
    </xdr:from>
    <xdr:to>
      <xdr:col>19</xdr:col>
      <xdr:colOff>622300</xdr:colOff>
      <xdr:row>45</xdr:row>
      <xdr:rowOff>50800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37BC409E-63C6-7746-CE06-079CDFC885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6350</xdr:colOff>
      <xdr:row>45</xdr:row>
      <xdr:rowOff>165100</xdr:rowOff>
    </xdr:from>
    <xdr:to>
      <xdr:col>19</xdr:col>
      <xdr:colOff>711200</xdr:colOff>
      <xdr:row>60</xdr:row>
      <xdr:rowOff>12700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23CA886B-BDB8-37A9-5C56-2D7DE1BCE5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6350</xdr:colOff>
      <xdr:row>59</xdr:row>
      <xdr:rowOff>139700</xdr:rowOff>
    </xdr:from>
    <xdr:to>
      <xdr:col>19</xdr:col>
      <xdr:colOff>711200</xdr:colOff>
      <xdr:row>74</xdr:row>
      <xdr:rowOff>127000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3927A852-E01D-F174-0362-DDB8FDCADF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6350</xdr:colOff>
      <xdr:row>1</xdr:row>
      <xdr:rowOff>0</xdr:rowOff>
    </xdr:from>
    <xdr:to>
      <xdr:col>22</xdr:col>
      <xdr:colOff>450850</xdr:colOff>
      <xdr:row>14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15E5CF-CE1F-7F2C-4E5F-A12A3E66B3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819150</xdr:colOff>
      <xdr:row>29</xdr:row>
      <xdr:rowOff>228600</xdr:rowOff>
    </xdr:from>
    <xdr:to>
      <xdr:col>22</xdr:col>
      <xdr:colOff>438150</xdr:colOff>
      <xdr:row>43</xdr:row>
      <xdr:rowOff>25400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D285CEB-0984-B58E-5BEC-49985B3111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806450</xdr:colOff>
      <xdr:row>15</xdr:row>
      <xdr:rowOff>127000</xdr:rowOff>
    </xdr:from>
    <xdr:to>
      <xdr:col>22</xdr:col>
      <xdr:colOff>425450</xdr:colOff>
      <xdr:row>28</xdr:row>
      <xdr:rowOff>127000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793E2A4-EBB1-4576-FF00-FA84063645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806450</xdr:colOff>
      <xdr:row>44</xdr:row>
      <xdr:rowOff>38100</xdr:rowOff>
    </xdr:from>
    <xdr:to>
      <xdr:col>22</xdr:col>
      <xdr:colOff>425450</xdr:colOff>
      <xdr:row>57</xdr:row>
      <xdr:rowOff>139700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3E53A25-B799-7890-CB8F-1FE265952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44450</xdr:colOff>
      <xdr:row>58</xdr:row>
      <xdr:rowOff>0</xdr:rowOff>
    </xdr:from>
    <xdr:to>
      <xdr:col>22</xdr:col>
      <xdr:colOff>488950</xdr:colOff>
      <xdr:row>71</xdr:row>
      <xdr:rowOff>101600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6ED652D-C413-2F99-5D94-4CDACDB5AB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19050</xdr:colOff>
      <xdr:row>1</xdr:row>
      <xdr:rowOff>12700</xdr:rowOff>
    </xdr:from>
    <xdr:to>
      <xdr:col>28</xdr:col>
      <xdr:colOff>463550</xdr:colOff>
      <xdr:row>14</xdr:row>
      <xdr:rowOff>12700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7FBE551-B44B-D288-9634-74736C10E6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19050</xdr:colOff>
      <xdr:row>15</xdr:row>
      <xdr:rowOff>127000</xdr:rowOff>
    </xdr:from>
    <xdr:to>
      <xdr:col>28</xdr:col>
      <xdr:colOff>463550</xdr:colOff>
      <xdr:row>28</xdr:row>
      <xdr:rowOff>127000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FACE109-CE7A-6AD2-4423-77DF61A78F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819150</xdr:colOff>
      <xdr:row>29</xdr:row>
      <xdr:rowOff>241300</xdr:rowOff>
    </xdr:from>
    <xdr:to>
      <xdr:col>28</xdr:col>
      <xdr:colOff>438150</xdr:colOff>
      <xdr:row>43</xdr:row>
      <xdr:rowOff>38100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5F1D7F2-71A0-C7E9-808C-3943BA6E97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6350</xdr:colOff>
      <xdr:row>44</xdr:row>
      <xdr:rowOff>12700</xdr:rowOff>
    </xdr:from>
    <xdr:to>
      <xdr:col>28</xdr:col>
      <xdr:colOff>450850</xdr:colOff>
      <xdr:row>57</xdr:row>
      <xdr:rowOff>114300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60DA4AA8-7964-B6D9-2DD9-70F7F483AA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6350</xdr:colOff>
      <xdr:row>58</xdr:row>
      <xdr:rowOff>12700</xdr:rowOff>
    </xdr:from>
    <xdr:to>
      <xdr:col>28</xdr:col>
      <xdr:colOff>450850</xdr:colOff>
      <xdr:row>71</xdr:row>
      <xdr:rowOff>114300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69CAAFF-93A4-1933-73C4-28034E3BE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7F059-D83B-40A3-9AEA-D2E8429EC4BC}">
  <dimension ref="B1:P67"/>
  <sheetViews>
    <sheetView zoomScale="84" zoomScaleNormal="84" workbookViewId="0">
      <selection activeCell="B2" sqref="B2:K11"/>
    </sheetView>
  </sheetViews>
  <sheetFormatPr baseColWidth="10" defaultRowHeight="16" x14ac:dyDescent="0.2"/>
  <cols>
    <col min="2" max="2" width="15.33203125" customWidth="1"/>
    <col min="3" max="11" width="10.6640625" style="2"/>
  </cols>
  <sheetData>
    <row r="1" spans="2:11" x14ac:dyDescent="0.2">
      <c r="B1" s="1"/>
    </row>
    <row r="2" spans="2:11" ht="24" x14ac:dyDescent="0.25">
      <c r="B2" s="16" t="s">
        <v>52</v>
      </c>
      <c r="C2" s="16"/>
      <c r="D2" s="16"/>
      <c r="E2" s="16"/>
      <c r="F2" s="16"/>
      <c r="G2" s="16"/>
      <c r="H2" s="16"/>
      <c r="I2" s="16"/>
      <c r="J2" s="16"/>
    </row>
    <row r="3" spans="2:11" x14ac:dyDescent="0.2">
      <c r="C3" s="17" t="s">
        <v>20</v>
      </c>
      <c r="D3" s="18"/>
      <c r="E3" s="18"/>
      <c r="F3" s="18"/>
      <c r="G3" s="18"/>
      <c r="H3" s="18"/>
      <c r="I3" s="18"/>
      <c r="J3" s="19"/>
    </row>
    <row r="4" spans="2:11" x14ac:dyDescent="0.2">
      <c r="B4" s="14" t="s">
        <v>0</v>
      </c>
      <c r="C4" s="13">
        <v>1</v>
      </c>
      <c r="D4" s="13">
        <v>2</v>
      </c>
      <c r="E4" s="13">
        <v>3</v>
      </c>
      <c r="F4" s="13">
        <v>4</v>
      </c>
      <c r="G4" s="13">
        <v>5</v>
      </c>
      <c r="H4" s="13">
        <v>6</v>
      </c>
      <c r="I4" s="13">
        <v>7</v>
      </c>
      <c r="J4" s="13">
        <v>8</v>
      </c>
      <c r="K4" s="13" t="s">
        <v>26</v>
      </c>
    </row>
    <row r="5" spans="2:11" x14ac:dyDescent="0.2">
      <c r="B5" s="14" t="s">
        <v>46</v>
      </c>
      <c r="C5" s="12">
        <v>1</v>
      </c>
      <c r="D5" s="12">
        <v>2</v>
      </c>
      <c r="E5" s="12">
        <v>2</v>
      </c>
      <c r="F5" s="12">
        <v>2</v>
      </c>
      <c r="G5" s="12">
        <v>1</v>
      </c>
      <c r="H5" s="12">
        <v>1</v>
      </c>
      <c r="I5" s="12">
        <v>1</v>
      </c>
      <c r="J5" s="12">
        <v>2</v>
      </c>
      <c r="K5" s="3">
        <f t="shared" ref="K5:K10" si="0">AVERAGE(C5:J5)</f>
        <v>1.5</v>
      </c>
    </row>
    <row r="6" spans="2:11" x14ac:dyDescent="0.2">
      <c r="B6" s="14" t="s">
        <v>47</v>
      </c>
      <c r="C6" s="12">
        <v>2</v>
      </c>
      <c r="D6" s="12">
        <v>0</v>
      </c>
      <c r="E6" s="12">
        <v>0</v>
      </c>
      <c r="F6" s="12">
        <v>1</v>
      </c>
      <c r="G6" s="12">
        <v>2</v>
      </c>
      <c r="H6" s="12">
        <v>3</v>
      </c>
      <c r="I6" s="12">
        <v>3</v>
      </c>
      <c r="J6" s="12">
        <v>2</v>
      </c>
      <c r="K6" s="3">
        <f t="shared" si="0"/>
        <v>1.625</v>
      </c>
    </row>
    <row r="7" spans="2:11" x14ac:dyDescent="0.2">
      <c r="B7" s="14" t="s">
        <v>48</v>
      </c>
      <c r="C7" s="12">
        <v>0</v>
      </c>
      <c r="D7" s="12">
        <v>2</v>
      </c>
      <c r="E7" s="12">
        <v>1</v>
      </c>
      <c r="F7" s="12">
        <v>2</v>
      </c>
      <c r="G7" s="12">
        <v>1</v>
      </c>
      <c r="H7" s="12">
        <v>1</v>
      </c>
      <c r="I7" s="12">
        <v>1</v>
      </c>
      <c r="J7" s="12">
        <v>1</v>
      </c>
      <c r="K7" s="3">
        <f t="shared" si="0"/>
        <v>1.125</v>
      </c>
    </row>
    <row r="8" spans="2:11" x14ac:dyDescent="0.2">
      <c r="B8" s="14" t="s">
        <v>49</v>
      </c>
      <c r="C8" s="12">
        <v>0</v>
      </c>
      <c r="D8" s="12">
        <v>0</v>
      </c>
      <c r="E8" s="12">
        <v>0</v>
      </c>
      <c r="F8" s="12">
        <v>0</v>
      </c>
      <c r="G8" s="12">
        <v>1</v>
      </c>
      <c r="H8" s="12">
        <v>1</v>
      </c>
      <c r="I8" s="12">
        <v>0</v>
      </c>
      <c r="J8" s="12">
        <v>0</v>
      </c>
      <c r="K8" s="3">
        <f t="shared" si="0"/>
        <v>0.25</v>
      </c>
    </row>
    <row r="9" spans="2:11" x14ac:dyDescent="0.2">
      <c r="B9" s="14" t="s">
        <v>9</v>
      </c>
      <c r="C9" s="12">
        <v>1</v>
      </c>
      <c r="D9" s="12">
        <v>1</v>
      </c>
      <c r="E9" s="12">
        <v>2</v>
      </c>
      <c r="F9" s="12">
        <v>2</v>
      </c>
      <c r="G9" s="12">
        <v>1</v>
      </c>
      <c r="H9" s="12">
        <v>2</v>
      </c>
      <c r="I9" s="12">
        <v>2</v>
      </c>
      <c r="J9" s="12">
        <v>1</v>
      </c>
      <c r="K9" s="3">
        <f t="shared" si="0"/>
        <v>1.5</v>
      </c>
    </row>
    <row r="10" spans="2:11" x14ac:dyDescent="0.2">
      <c r="B10" s="15" t="s">
        <v>50</v>
      </c>
      <c r="C10" s="12">
        <v>3</v>
      </c>
      <c r="D10" s="12">
        <v>3</v>
      </c>
      <c r="E10" s="12">
        <v>3</v>
      </c>
      <c r="F10" s="12">
        <v>0</v>
      </c>
      <c r="G10" s="12">
        <v>2</v>
      </c>
      <c r="H10" s="12">
        <v>2</v>
      </c>
      <c r="I10" s="12">
        <v>1</v>
      </c>
      <c r="J10" s="12">
        <v>1</v>
      </c>
      <c r="K10" s="10">
        <f t="shared" si="0"/>
        <v>1.875</v>
      </c>
    </row>
    <row r="11" spans="2:11" x14ac:dyDescent="0.2">
      <c r="B11" s="14" t="s">
        <v>51</v>
      </c>
      <c r="C11" s="3">
        <v>2</v>
      </c>
      <c r="D11" s="3">
        <v>2</v>
      </c>
      <c r="E11" s="3">
        <v>2</v>
      </c>
      <c r="F11" s="3">
        <v>1</v>
      </c>
      <c r="G11" s="3">
        <v>1</v>
      </c>
      <c r="H11" s="3">
        <v>1</v>
      </c>
      <c r="I11" s="3">
        <v>1</v>
      </c>
      <c r="J11" s="3">
        <v>0</v>
      </c>
      <c r="K11" s="3">
        <f>AVERAGE(C11:J11)</f>
        <v>1.25</v>
      </c>
    </row>
    <row r="12" spans="2:11" x14ac:dyDescent="0.2">
      <c r="B12" s="11"/>
    </row>
    <row r="14" spans="2:11" ht="21" x14ac:dyDescent="0.25">
      <c r="B14" s="16" t="s">
        <v>27</v>
      </c>
      <c r="C14" s="16"/>
      <c r="D14" s="16"/>
      <c r="E14" s="16"/>
      <c r="F14" s="16"/>
      <c r="G14" s="16"/>
      <c r="H14" s="16"/>
      <c r="I14" s="16"/>
      <c r="J14" s="16"/>
    </row>
    <row r="15" spans="2:11" x14ac:dyDescent="0.2">
      <c r="C15" s="20" t="s">
        <v>20</v>
      </c>
      <c r="D15" s="20"/>
      <c r="E15" s="20"/>
      <c r="F15" s="20"/>
      <c r="G15" s="20"/>
      <c r="H15" s="20"/>
      <c r="I15" s="20"/>
      <c r="J15" s="20"/>
    </row>
    <row r="16" spans="2:11" x14ac:dyDescent="0.2">
      <c r="B16" s="4" t="s">
        <v>0</v>
      </c>
      <c r="C16" s="3" t="s">
        <v>10</v>
      </c>
      <c r="D16" s="3" t="s">
        <v>11</v>
      </c>
      <c r="E16" s="3" t="s">
        <v>12</v>
      </c>
      <c r="F16" s="3" t="s">
        <v>13</v>
      </c>
      <c r="G16" s="3" t="s">
        <v>14</v>
      </c>
      <c r="H16" s="3" t="s">
        <v>15</v>
      </c>
      <c r="I16" s="3" t="s">
        <v>16</v>
      </c>
      <c r="J16" s="3" t="s">
        <v>25</v>
      </c>
      <c r="K16" s="3" t="s">
        <v>26</v>
      </c>
    </row>
    <row r="17" spans="2:11" x14ac:dyDescent="0.2">
      <c r="B17" s="4" t="s">
        <v>1</v>
      </c>
      <c r="C17" s="3">
        <v>4</v>
      </c>
      <c r="D17" s="3">
        <v>4</v>
      </c>
      <c r="E17" s="3">
        <v>4</v>
      </c>
      <c r="F17" s="3">
        <v>2</v>
      </c>
      <c r="G17" s="3">
        <v>3</v>
      </c>
      <c r="H17" s="3">
        <v>3</v>
      </c>
      <c r="I17" s="3">
        <v>4</v>
      </c>
      <c r="J17" s="3">
        <v>4</v>
      </c>
      <c r="K17" s="6">
        <f t="shared" ref="K17:K25" si="1">AVERAGE(C17:J17)</f>
        <v>3.5</v>
      </c>
    </row>
    <row r="18" spans="2:11" x14ac:dyDescent="0.2">
      <c r="B18" s="4" t="s">
        <v>2</v>
      </c>
      <c r="C18" s="3">
        <v>4</v>
      </c>
      <c r="D18" s="3">
        <v>3</v>
      </c>
      <c r="E18" s="3">
        <v>3</v>
      </c>
      <c r="F18" s="3">
        <v>1</v>
      </c>
      <c r="G18" s="3">
        <v>3</v>
      </c>
      <c r="H18" s="3">
        <v>3</v>
      </c>
      <c r="I18" s="3">
        <v>4</v>
      </c>
      <c r="J18" s="3">
        <v>4</v>
      </c>
      <c r="K18" s="6">
        <f t="shared" si="1"/>
        <v>3.125</v>
      </c>
    </row>
    <row r="19" spans="2:11" x14ac:dyDescent="0.2">
      <c r="B19" s="4" t="s">
        <v>3</v>
      </c>
      <c r="C19" s="3">
        <v>1</v>
      </c>
      <c r="D19" s="3">
        <v>2</v>
      </c>
      <c r="E19" s="3">
        <v>2</v>
      </c>
      <c r="F19" s="3">
        <v>1</v>
      </c>
      <c r="G19" s="3">
        <v>3</v>
      </c>
      <c r="H19" s="3">
        <v>2</v>
      </c>
      <c r="I19" s="3">
        <v>3</v>
      </c>
      <c r="J19" s="3">
        <v>3</v>
      </c>
      <c r="K19" s="6">
        <f t="shared" si="1"/>
        <v>2.125</v>
      </c>
    </row>
    <row r="20" spans="2:11" x14ac:dyDescent="0.2">
      <c r="B20" s="4" t="s">
        <v>4</v>
      </c>
      <c r="C20" s="3">
        <v>2</v>
      </c>
      <c r="D20" s="3">
        <v>5</v>
      </c>
      <c r="E20" s="3">
        <v>1</v>
      </c>
      <c r="F20" s="3">
        <v>1</v>
      </c>
      <c r="G20" s="3">
        <v>4</v>
      </c>
      <c r="H20" s="3">
        <v>4</v>
      </c>
      <c r="I20" s="3">
        <v>2</v>
      </c>
      <c r="J20" s="3">
        <v>4</v>
      </c>
      <c r="K20" s="6">
        <f t="shared" si="1"/>
        <v>2.875</v>
      </c>
    </row>
    <row r="21" spans="2:11" x14ac:dyDescent="0.2">
      <c r="B21" s="4" t="s">
        <v>5</v>
      </c>
      <c r="C21" s="3">
        <v>1</v>
      </c>
      <c r="D21" s="3">
        <v>1</v>
      </c>
      <c r="E21" s="3">
        <v>1</v>
      </c>
      <c r="F21" s="3">
        <v>2</v>
      </c>
      <c r="G21" s="3">
        <v>1</v>
      </c>
      <c r="H21" s="3">
        <v>1</v>
      </c>
      <c r="I21" s="3">
        <v>1</v>
      </c>
      <c r="J21" s="3">
        <v>1</v>
      </c>
      <c r="K21" s="6">
        <f t="shared" si="1"/>
        <v>1.125</v>
      </c>
    </row>
    <row r="22" spans="2:11" x14ac:dyDescent="0.2">
      <c r="B22" s="4" t="s">
        <v>6</v>
      </c>
      <c r="C22" s="3">
        <v>3</v>
      </c>
      <c r="D22" s="3">
        <v>2</v>
      </c>
      <c r="E22" s="3">
        <v>1</v>
      </c>
      <c r="F22" s="3">
        <v>1</v>
      </c>
      <c r="G22" s="3">
        <v>3</v>
      </c>
      <c r="H22" s="3">
        <v>2</v>
      </c>
      <c r="I22" s="3">
        <v>4</v>
      </c>
      <c r="J22" s="3">
        <v>1</v>
      </c>
      <c r="K22" s="6">
        <f t="shared" si="1"/>
        <v>2.125</v>
      </c>
    </row>
    <row r="23" spans="2:11" x14ac:dyDescent="0.2">
      <c r="B23" s="4" t="s">
        <v>7</v>
      </c>
      <c r="C23" s="3">
        <v>2</v>
      </c>
      <c r="D23" s="3">
        <v>1</v>
      </c>
      <c r="E23" s="3">
        <v>1</v>
      </c>
      <c r="F23" s="3">
        <v>3</v>
      </c>
      <c r="G23" s="3">
        <v>3</v>
      </c>
      <c r="H23" s="3">
        <v>4</v>
      </c>
      <c r="I23" s="3">
        <v>1</v>
      </c>
      <c r="J23" s="3">
        <v>3</v>
      </c>
      <c r="K23" s="6">
        <f t="shared" si="1"/>
        <v>2.25</v>
      </c>
    </row>
    <row r="24" spans="2:11" x14ac:dyDescent="0.2">
      <c r="B24" s="4" t="s">
        <v>8</v>
      </c>
      <c r="C24" s="3">
        <v>2</v>
      </c>
      <c r="D24" s="3">
        <v>3</v>
      </c>
      <c r="E24" s="3">
        <v>1</v>
      </c>
      <c r="F24" s="3">
        <v>1</v>
      </c>
      <c r="G24" s="3">
        <v>3</v>
      </c>
      <c r="H24" s="3">
        <v>2</v>
      </c>
      <c r="I24" s="3">
        <v>4</v>
      </c>
      <c r="J24" s="3">
        <v>3</v>
      </c>
      <c r="K24" s="6">
        <f t="shared" si="1"/>
        <v>2.375</v>
      </c>
    </row>
    <row r="25" spans="2:11" x14ac:dyDescent="0.2">
      <c r="B25" s="4" t="s">
        <v>9</v>
      </c>
      <c r="C25" s="3">
        <v>3</v>
      </c>
      <c r="D25" s="3">
        <v>4</v>
      </c>
      <c r="E25" s="3">
        <v>1</v>
      </c>
      <c r="F25" s="3">
        <v>2</v>
      </c>
      <c r="G25" s="3">
        <v>2</v>
      </c>
      <c r="H25" s="3">
        <v>3</v>
      </c>
      <c r="I25" s="3">
        <v>2</v>
      </c>
      <c r="J25" s="3">
        <v>1</v>
      </c>
      <c r="K25" s="6">
        <f t="shared" si="1"/>
        <v>2.25</v>
      </c>
    </row>
    <row r="26" spans="2:11" x14ac:dyDescent="0.2">
      <c r="K26" s="7"/>
    </row>
    <row r="27" spans="2:11" x14ac:dyDescent="0.2">
      <c r="K27" s="7"/>
    </row>
    <row r="28" spans="2:11" ht="24" x14ac:dyDescent="0.25">
      <c r="B28" s="16" t="s">
        <v>22</v>
      </c>
      <c r="C28" s="16"/>
      <c r="D28" s="16"/>
      <c r="E28" s="16"/>
      <c r="F28" s="16"/>
      <c r="G28" s="16"/>
      <c r="H28" s="16"/>
      <c r="I28" s="16"/>
      <c r="J28" s="16"/>
      <c r="K28" s="7"/>
    </row>
    <row r="29" spans="2:11" x14ac:dyDescent="0.2">
      <c r="C29" s="20" t="s">
        <v>20</v>
      </c>
      <c r="D29" s="20"/>
      <c r="E29" s="20"/>
      <c r="F29" s="20"/>
      <c r="G29" s="20"/>
      <c r="H29" s="20"/>
      <c r="I29" s="20"/>
      <c r="J29" s="20"/>
      <c r="K29" s="7"/>
    </row>
    <row r="30" spans="2:11" x14ac:dyDescent="0.2">
      <c r="B30" s="4" t="s">
        <v>0</v>
      </c>
      <c r="C30" s="3" t="s">
        <v>10</v>
      </c>
      <c r="D30" s="3" t="s">
        <v>11</v>
      </c>
      <c r="E30" s="3" t="s">
        <v>12</v>
      </c>
      <c r="F30" s="3" t="s">
        <v>13</v>
      </c>
      <c r="G30" s="3" t="s">
        <v>14</v>
      </c>
      <c r="H30" s="3" t="s">
        <v>15</v>
      </c>
      <c r="I30" s="3" t="s">
        <v>16</v>
      </c>
      <c r="J30" s="3" t="s">
        <v>25</v>
      </c>
      <c r="K30" s="6" t="s">
        <v>26</v>
      </c>
    </row>
    <row r="31" spans="2:11" x14ac:dyDescent="0.2">
      <c r="B31" s="4" t="s">
        <v>1</v>
      </c>
      <c r="C31" s="3">
        <v>3</v>
      </c>
      <c r="D31" s="3">
        <v>3</v>
      </c>
      <c r="E31" s="3">
        <v>2</v>
      </c>
      <c r="F31" s="3">
        <v>3</v>
      </c>
      <c r="G31" s="3">
        <v>4</v>
      </c>
      <c r="H31" s="3">
        <v>3</v>
      </c>
      <c r="I31" s="3">
        <v>3</v>
      </c>
      <c r="J31" s="3">
        <v>3</v>
      </c>
      <c r="K31" s="6">
        <f t="shared" ref="K31:K39" si="2">AVERAGE(C31:J31)</f>
        <v>3</v>
      </c>
    </row>
    <row r="32" spans="2:11" x14ac:dyDescent="0.2">
      <c r="B32" s="4" t="s">
        <v>2</v>
      </c>
      <c r="C32" s="3">
        <v>3</v>
      </c>
      <c r="D32" s="3">
        <v>5</v>
      </c>
      <c r="E32" s="3">
        <v>3</v>
      </c>
      <c r="F32" s="3">
        <v>2</v>
      </c>
      <c r="G32" s="3">
        <v>3</v>
      </c>
      <c r="H32" s="3">
        <v>4</v>
      </c>
      <c r="I32" s="3">
        <v>3</v>
      </c>
      <c r="J32" s="3">
        <v>3</v>
      </c>
      <c r="K32" s="6">
        <f t="shared" si="2"/>
        <v>3.25</v>
      </c>
    </row>
    <row r="33" spans="2:16" x14ac:dyDescent="0.2">
      <c r="B33" s="4" t="s">
        <v>3</v>
      </c>
      <c r="C33" s="3">
        <v>1</v>
      </c>
      <c r="D33" s="3">
        <v>5</v>
      </c>
      <c r="E33" s="3">
        <v>2</v>
      </c>
      <c r="F33" s="3">
        <v>1</v>
      </c>
      <c r="G33" s="3">
        <v>3</v>
      </c>
      <c r="H33" s="3">
        <v>3</v>
      </c>
      <c r="I33" s="3">
        <v>2</v>
      </c>
      <c r="J33" s="3">
        <v>2</v>
      </c>
      <c r="K33" s="6">
        <f t="shared" si="2"/>
        <v>2.375</v>
      </c>
      <c r="P33" t="s">
        <v>27</v>
      </c>
    </row>
    <row r="34" spans="2:16" x14ac:dyDescent="0.2">
      <c r="B34" s="4" t="s">
        <v>4</v>
      </c>
      <c r="C34" s="3">
        <v>2</v>
      </c>
      <c r="D34" s="3">
        <v>1</v>
      </c>
      <c r="E34" s="3">
        <v>1</v>
      </c>
      <c r="F34" s="3">
        <v>2</v>
      </c>
      <c r="G34" s="3">
        <v>4</v>
      </c>
      <c r="H34" s="3">
        <v>2</v>
      </c>
      <c r="I34" s="3">
        <v>2</v>
      </c>
      <c r="J34" s="3">
        <v>2</v>
      </c>
      <c r="K34" s="6">
        <f t="shared" si="2"/>
        <v>2</v>
      </c>
    </row>
    <row r="35" spans="2:16" x14ac:dyDescent="0.2">
      <c r="B35" s="4" t="s">
        <v>5</v>
      </c>
      <c r="C35" s="3">
        <v>1</v>
      </c>
      <c r="D35" s="3">
        <v>1</v>
      </c>
      <c r="E35" s="3">
        <v>1</v>
      </c>
      <c r="F35" s="3">
        <v>1</v>
      </c>
      <c r="G35" s="3">
        <v>1</v>
      </c>
      <c r="H35" s="3">
        <v>2</v>
      </c>
      <c r="I35" s="3">
        <v>1</v>
      </c>
      <c r="J35" s="3">
        <v>1</v>
      </c>
      <c r="K35" s="6">
        <f t="shared" si="2"/>
        <v>1.125</v>
      </c>
    </row>
    <row r="36" spans="2:16" x14ac:dyDescent="0.2">
      <c r="B36" s="4" t="s">
        <v>6</v>
      </c>
      <c r="C36" s="3">
        <v>2</v>
      </c>
      <c r="D36" s="3">
        <v>1</v>
      </c>
      <c r="E36" s="3">
        <v>1</v>
      </c>
      <c r="F36" s="3">
        <v>1</v>
      </c>
      <c r="G36" s="3">
        <v>2</v>
      </c>
      <c r="H36" s="3">
        <v>2</v>
      </c>
      <c r="I36" s="3">
        <v>2</v>
      </c>
      <c r="J36" s="3">
        <v>1</v>
      </c>
      <c r="K36" s="6">
        <f t="shared" si="2"/>
        <v>1.5</v>
      </c>
    </row>
    <row r="37" spans="2:16" x14ac:dyDescent="0.2">
      <c r="B37" s="4" t="s">
        <v>7</v>
      </c>
      <c r="C37" s="3">
        <v>2</v>
      </c>
      <c r="D37" s="3">
        <v>1</v>
      </c>
      <c r="E37" s="3">
        <v>1</v>
      </c>
      <c r="F37" s="3">
        <v>3</v>
      </c>
      <c r="G37" s="3">
        <v>3</v>
      </c>
      <c r="H37" s="3">
        <v>3</v>
      </c>
      <c r="I37" s="3">
        <v>2</v>
      </c>
      <c r="J37" s="3">
        <v>4</v>
      </c>
      <c r="K37" s="6">
        <f t="shared" si="2"/>
        <v>2.375</v>
      </c>
    </row>
    <row r="38" spans="2:16" x14ac:dyDescent="0.2">
      <c r="B38" s="4" t="s">
        <v>8</v>
      </c>
      <c r="C38" s="3">
        <v>2</v>
      </c>
      <c r="D38" s="3">
        <v>3</v>
      </c>
      <c r="E38" s="3">
        <v>1</v>
      </c>
      <c r="F38" s="3">
        <v>2</v>
      </c>
      <c r="G38" s="3">
        <v>3</v>
      </c>
      <c r="H38" s="3">
        <v>3</v>
      </c>
      <c r="I38" s="3">
        <v>3</v>
      </c>
      <c r="J38" s="3">
        <v>2</v>
      </c>
      <c r="K38" s="6">
        <f t="shared" si="2"/>
        <v>2.375</v>
      </c>
    </row>
    <row r="39" spans="2:16" x14ac:dyDescent="0.2">
      <c r="B39" s="4" t="s">
        <v>9</v>
      </c>
      <c r="C39" s="3">
        <v>2</v>
      </c>
      <c r="D39" s="3">
        <v>3</v>
      </c>
      <c r="E39" s="3">
        <v>2</v>
      </c>
      <c r="F39" s="3">
        <v>2</v>
      </c>
      <c r="G39" s="3">
        <v>2</v>
      </c>
      <c r="H39" s="3">
        <v>1</v>
      </c>
      <c r="I39" s="3">
        <v>3</v>
      </c>
      <c r="J39" s="3">
        <v>3</v>
      </c>
      <c r="K39" s="6">
        <f t="shared" si="2"/>
        <v>2.25</v>
      </c>
    </row>
    <row r="40" spans="2:16" x14ac:dyDescent="0.2">
      <c r="K40" s="7"/>
    </row>
    <row r="41" spans="2:16" x14ac:dyDescent="0.2">
      <c r="K41" s="7"/>
    </row>
    <row r="42" spans="2:16" ht="24" x14ac:dyDescent="0.25">
      <c r="B42" s="16" t="s">
        <v>23</v>
      </c>
      <c r="C42" s="16"/>
      <c r="D42" s="16"/>
      <c r="E42" s="16"/>
      <c r="F42" s="16"/>
      <c r="G42" s="16"/>
      <c r="H42" s="16"/>
      <c r="I42" s="16"/>
      <c r="J42" s="16"/>
      <c r="K42" s="7"/>
    </row>
    <row r="43" spans="2:16" x14ac:dyDescent="0.2">
      <c r="C43" s="20" t="s">
        <v>20</v>
      </c>
      <c r="D43" s="20"/>
      <c r="E43" s="20"/>
      <c r="F43" s="20"/>
      <c r="G43" s="20"/>
      <c r="H43" s="20"/>
      <c r="I43" s="20"/>
      <c r="J43" s="20"/>
      <c r="K43" s="7"/>
    </row>
    <row r="44" spans="2:16" x14ac:dyDescent="0.2">
      <c r="B44" s="4" t="s">
        <v>0</v>
      </c>
      <c r="C44" s="3" t="s">
        <v>10</v>
      </c>
      <c r="D44" s="3" t="s">
        <v>11</v>
      </c>
      <c r="E44" s="3" t="s">
        <v>12</v>
      </c>
      <c r="F44" s="3" t="s">
        <v>13</v>
      </c>
      <c r="G44" s="3" t="s">
        <v>14</v>
      </c>
      <c r="H44" s="3" t="s">
        <v>15</v>
      </c>
      <c r="I44" s="3" t="s">
        <v>16</v>
      </c>
      <c r="J44" s="3" t="s">
        <v>25</v>
      </c>
      <c r="K44" s="6" t="s">
        <v>26</v>
      </c>
    </row>
    <row r="45" spans="2:16" x14ac:dyDescent="0.2">
      <c r="B45" s="4" t="s">
        <v>1</v>
      </c>
      <c r="C45" s="3">
        <v>4</v>
      </c>
      <c r="D45" s="3">
        <v>4</v>
      </c>
      <c r="E45" s="3">
        <v>2</v>
      </c>
      <c r="F45" s="3">
        <v>2</v>
      </c>
      <c r="G45" s="3">
        <v>5</v>
      </c>
      <c r="H45" s="3">
        <v>4</v>
      </c>
      <c r="I45" s="3">
        <v>5</v>
      </c>
      <c r="J45" s="3">
        <v>5</v>
      </c>
      <c r="K45" s="6">
        <f t="shared" ref="K45:K53" si="3">AVERAGE(C45:J45)</f>
        <v>3.875</v>
      </c>
    </row>
    <row r="46" spans="2:16" x14ac:dyDescent="0.2">
      <c r="B46" s="4" t="s">
        <v>2</v>
      </c>
      <c r="C46" s="3">
        <v>4</v>
      </c>
      <c r="D46" s="3">
        <v>2</v>
      </c>
      <c r="E46" s="3">
        <v>3</v>
      </c>
      <c r="F46" s="3">
        <v>2</v>
      </c>
      <c r="G46" s="3">
        <v>4</v>
      </c>
      <c r="H46" s="3">
        <v>3</v>
      </c>
      <c r="I46" s="3">
        <v>3</v>
      </c>
      <c r="J46" s="3">
        <v>4</v>
      </c>
      <c r="K46" s="6">
        <f t="shared" si="3"/>
        <v>3.125</v>
      </c>
    </row>
    <row r="47" spans="2:16" x14ac:dyDescent="0.2">
      <c r="B47" s="4" t="s">
        <v>3</v>
      </c>
      <c r="C47" s="3">
        <v>2</v>
      </c>
      <c r="D47" s="3">
        <v>4</v>
      </c>
      <c r="E47" s="3">
        <v>2</v>
      </c>
      <c r="F47" s="3">
        <v>1</v>
      </c>
      <c r="G47" s="3">
        <v>3</v>
      </c>
      <c r="H47" s="3">
        <v>2</v>
      </c>
      <c r="I47" s="3">
        <v>2</v>
      </c>
      <c r="J47" s="3">
        <v>2</v>
      </c>
      <c r="K47" s="6">
        <f t="shared" si="3"/>
        <v>2.25</v>
      </c>
    </row>
    <row r="48" spans="2:16" x14ac:dyDescent="0.2">
      <c r="B48" s="4" t="s">
        <v>4</v>
      </c>
      <c r="C48" s="3">
        <v>2</v>
      </c>
      <c r="D48" s="3">
        <v>3</v>
      </c>
      <c r="E48" s="3">
        <v>1</v>
      </c>
      <c r="F48" s="3">
        <v>1</v>
      </c>
      <c r="G48" s="3">
        <v>3</v>
      </c>
      <c r="H48" s="3">
        <v>2</v>
      </c>
      <c r="I48" s="3">
        <v>2</v>
      </c>
      <c r="J48" s="3">
        <v>3</v>
      </c>
      <c r="K48" s="6">
        <f t="shared" si="3"/>
        <v>2.125</v>
      </c>
    </row>
    <row r="49" spans="2:11" x14ac:dyDescent="0.2">
      <c r="B49" s="4" t="s">
        <v>5</v>
      </c>
      <c r="C49" s="3">
        <v>1</v>
      </c>
      <c r="D49" s="3">
        <v>1</v>
      </c>
      <c r="E49" s="3">
        <v>1</v>
      </c>
      <c r="F49" s="3">
        <v>2</v>
      </c>
      <c r="G49" s="3">
        <v>1</v>
      </c>
      <c r="H49" s="3">
        <v>1</v>
      </c>
      <c r="I49" s="3">
        <v>1</v>
      </c>
      <c r="J49" s="3">
        <v>1</v>
      </c>
      <c r="K49" s="6">
        <f t="shared" si="3"/>
        <v>1.125</v>
      </c>
    </row>
    <row r="50" spans="2:11" x14ac:dyDescent="0.2">
      <c r="B50" s="4" t="s">
        <v>6</v>
      </c>
      <c r="C50" s="3">
        <v>3</v>
      </c>
      <c r="D50" s="3">
        <v>1</v>
      </c>
      <c r="E50" s="3">
        <v>1</v>
      </c>
      <c r="F50" s="3">
        <v>2</v>
      </c>
      <c r="G50" s="3">
        <v>2</v>
      </c>
      <c r="H50" s="3">
        <v>3</v>
      </c>
      <c r="I50" s="3">
        <v>3</v>
      </c>
      <c r="J50" s="3">
        <v>2</v>
      </c>
      <c r="K50" s="6">
        <f t="shared" si="3"/>
        <v>2.125</v>
      </c>
    </row>
    <row r="51" spans="2:11" x14ac:dyDescent="0.2">
      <c r="B51" s="4" t="s">
        <v>7</v>
      </c>
      <c r="C51" s="3">
        <v>4</v>
      </c>
      <c r="D51" s="3">
        <v>1</v>
      </c>
      <c r="E51" s="3">
        <v>1</v>
      </c>
      <c r="F51" s="3">
        <v>3</v>
      </c>
      <c r="G51" s="3">
        <v>3</v>
      </c>
      <c r="H51" s="3">
        <v>4</v>
      </c>
      <c r="I51" s="3">
        <v>5</v>
      </c>
      <c r="J51" s="3">
        <v>4</v>
      </c>
      <c r="K51" s="6">
        <f t="shared" si="3"/>
        <v>3.125</v>
      </c>
    </row>
    <row r="52" spans="2:11" x14ac:dyDescent="0.2">
      <c r="B52" s="4" t="s">
        <v>8</v>
      </c>
      <c r="C52" s="3">
        <v>3</v>
      </c>
      <c r="D52" s="3">
        <v>1</v>
      </c>
      <c r="E52" s="3">
        <v>1</v>
      </c>
      <c r="F52" s="3">
        <v>2</v>
      </c>
      <c r="G52" s="3">
        <v>3</v>
      </c>
      <c r="H52" s="3">
        <v>4</v>
      </c>
      <c r="I52" s="3">
        <v>2</v>
      </c>
      <c r="J52" s="3">
        <v>4</v>
      </c>
      <c r="K52" s="6">
        <f t="shared" si="3"/>
        <v>2.5</v>
      </c>
    </row>
    <row r="53" spans="2:11" x14ac:dyDescent="0.2">
      <c r="B53" s="4" t="s">
        <v>9</v>
      </c>
      <c r="C53" s="3">
        <v>3</v>
      </c>
      <c r="D53" s="3">
        <v>5</v>
      </c>
      <c r="E53" s="3">
        <v>2</v>
      </c>
      <c r="F53" s="3">
        <v>2</v>
      </c>
      <c r="G53" s="3">
        <v>2</v>
      </c>
      <c r="H53" s="3">
        <v>1</v>
      </c>
      <c r="I53" s="3">
        <v>3</v>
      </c>
      <c r="J53" s="3">
        <v>3</v>
      </c>
      <c r="K53" s="6">
        <f t="shared" si="3"/>
        <v>2.625</v>
      </c>
    </row>
    <row r="54" spans="2:11" x14ac:dyDescent="0.2">
      <c r="K54" s="7"/>
    </row>
    <row r="55" spans="2:11" x14ac:dyDescent="0.2">
      <c r="K55" s="7"/>
    </row>
    <row r="56" spans="2:11" ht="24" x14ac:dyDescent="0.25">
      <c r="B56" s="16" t="s">
        <v>24</v>
      </c>
      <c r="C56" s="16"/>
      <c r="D56" s="16"/>
      <c r="E56" s="16"/>
      <c r="F56" s="16"/>
      <c r="G56" s="16"/>
      <c r="H56" s="16"/>
      <c r="I56" s="16"/>
      <c r="J56" s="16"/>
      <c r="K56" s="7"/>
    </row>
    <row r="57" spans="2:11" x14ac:dyDescent="0.2">
      <c r="C57" s="20" t="s">
        <v>20</v>
      </c>
      <c r="D57" s="20"/>
      <c r="E57" s="20"/>
      <c r="F57" s="20"/>
      <c r="G57" s="20"/>
      <c r="H57" s="20"/>
      <c r="I57" s="20"/>
      <c r="J57" s="20"/>
      <c r="K57" s="7"/>
    </row>
    <row r="58" spans="2:11" x14ac:dyDescent="0.2">
      <c r="B58" s="4" t="s">
        <v>0</v>
      </c>
      <c r="C58" s="3" t="s">
        <v>10</v>
      </c>
      <c r="D58" s="3" t="s">
        <v>11</v>
      </c>
      <c r="E58" s="3" t="s">
        <v>12</v>
      </c>
      <c r="F58" s="3" t="s">
        <v>13</v>
      </c>
      <c r="G58" s="3" t="s">
        <v>14</v>
      </c>
      <c r="H58" s="3" t="s">
        <v>15</v>
      </c>
      <c r="I58" s="3" t="s">
        <v>16</v>
      </c>
      <c r="J58" s="3" t="s">
        <v>25</v>
      </c>
      <c r="K58" s="6" t="s">
        <v>26</v>
      </c>
    </row>
    <row r="59" spans="2:11" x14ac:dyDescent="0.2">
      <c r="B59" s="4" t="s">
        <v>1</v>
      </c>
      <c r="C59" s="3">
        <v>4</v>
      </c>
      <c r="D59" s="3">
        <v>5</v>
      </c>
      <c r="E59" s="3">
        <v>3</v>
      </c>
      <c r="F59" s="3">
        <v>2</v>
      </c>
      <c r="G59" s="3">
        <v>4</v>
      </c>
      <c r="H59" s="3">
        <v>4</v>
      </c>
      <c r="I59" s="3">
        <v>4</v>
      </c>
      <c r="J59" s="3">
        <v>4</v>
      </c>
      <c r="K59" s="6">
        <f t="shared" ref="K59:K67" si="4">AVERAGE(C59:J59)</f>
        <v>3.75</v>
      </c>
    </row>
    <row r="60" spans="2:11" x14ac:dyDescent="0.2">
      <c r="B60" s="4" t="s">
        <v>2</v>
      </c>
      <c r="C60" s="3">
        <v>4</v>
      </c>
      <c r="D60" s="3">
        <v>5</v>
      </c>
      <c r="E60" s="3">
        <v>1</v>
      </c>
      <c r="F60" s="3">
        <v>3</v>
      </c>
      <c r="G60" s="3">
        <v>2</v>
      </c>
      <c r="H60" s="3">
        <v>4</v>
      </c>
      <c r="I60" s="3">
        <v>4</v>
      </c>
      <c r="J60" s="3">
        <v>2</v>
      </c>
      <c r="K60" s="6">
        <f t="shared" si="4"/>
        <v>3.125</v>
      </c>
    </row>
    <row r="61" spans="2:11" x14ac:dyDescent="0.2">
      <c r="B61" s="4" t="s">
        <v>3</v>
      </c>
      <c r="C61" s="3">
        <v>3</v>
      </c>
      <c r="D61" s="3">
        <v>5</v>
      </c>
      <c r="E61" s="3">
        <v>1</v>
      </c>
      <c r="F61" s="3">
        <v>2</v>
      </c>
      <c r="G61" s="3">
        <v>4</v>
      </c>
      <c r="H61" s="3">
        <v>4</v>
      </c>
      <c r="I61" s="3">
        <v>3</v>
      </c>
      <c r="J61" s="3">
        <v>2</v>
      </c>
      <c r="K61" s="6">
        <f t="shared" si="4"/>
        <v>3</v>
      </c>
    </row>
    <row r="62" spans="2:11" x14ac:dyDescent="0.2">
      <c r="B62" s="4" t="s">
        <v>4</v>
      </c>
      <c r="C62" s="3">
        <v>3</v>
      </c>
      <c r="D62" s="3">
        <v>1</v>
      </c>
      <c r="E62" s="3">
        <v>2</v>
      </c>
      <c r="F62" s="3">
        <v>2</v>
      </c>
      <c r="G62" s="3">
        <v>2</v>
      </c>
      <c r="H62" s="3">
        <v>4</v>
      </c>
      <c r="I62" s="3">
        <v>2</v>
      </c>
      <c r="J62" s="3">
        <v>3</v>
      </c>
      <c r="K62" s="6">
        <f t="shared" si="4"/>
        <v>2.375</v>
      </c>
    </row>
    <row r="63" spans="2:11" x14ac:dyDescent="0.2">
      <c r="B63" s="4" t="s">
        <v>5</v>
      </c>
      <c r="C63" s="3">
        <v>1</v>
      </c>
      <c r="D63" s="3">
        <v>1</v>
      </c>
      <c r="E63" s="3">
        <v>3</v>
      </c>
      <c r="F63" s="3">
        <v>1</v>
      </c>
      <c r="G63" s="3">
        <v>1</v>
      </c>
      <c r="H63" s="3">
        <v>2</v>
      </c>
      <c r="I63" s="3">
        <v>1</v>
      </c>
      <c r="J63" s="3">
        <v>1</v>
      </c>
      <c r="K63" s="6">
        <f t="shared" si="4"/>
        <v>1.375</v>
      </c>
    </row>
    <row r="64" spans="2:11" x14ac:dyDescent="0.2">
      <c r="B64" s="4" t="s">
        <v>6</v>
      </c>
      <c r="C64" s="3">
        <v>3</v>
      </c>
      <c r="D64" s="3">
        <v>1</v>
      </c>
      <c r="E64" s="3">
        <v>2</v>
      </c>
      <c r="F64" s="3">
        <v>2</v>
      </c>
      <c r="G64" s="3">
        <v>2</v>
      </c>
      <c r="H64" s="3">
        <v>4</v>
      </c>
      <c r="I64" s="3">
        <v>2</v>
      </c>
      <c r="J64" s="3">
        <v>4</v>
      </c>
      <c r="K64" s="6">
        <f t="shared" si="4"/>
        <v>2.5</v>
      </c>
    </row>
    <row r="65" spans="2:11" x14ac:dyDescent="0.2">
      <c r="B65" s="4" t="s">
        <v>7</v>
      </c>
      <c r="C65" s="3">
        <v>3</v>
      </c>
      <c r="D65" s="3">
        <v>1</v>
      </c>
      <c r="E65" s="3">
        <v>1</v>
      </c>
      <c r="F65" s="3">
        <v>4</v>
      </c>
      <c r="G65" s="3">
        <v>2</v>
      </c>
      <c r="H65" s="3">
        <v>5</v>
      </c>
      <c r="I65" s="3">
        <v>3</v>
      </c>
      <c r="J65" s="3">
        <v>3</v>
      </c>
      <c r="K65" s="6">
        <f t="shared" si="4"/>
        <v>2.75</v>
      </c>
    </row>
    <row r="66" spans="2:11" x14ac:dyDescent="0.2">
      <c r="B66" s="4" t="s">
        <v>8</v>
      </c>
      <c r="C66" s="3">
        <v>3</v>
      </c>
      <c r="D66" s="3">
        <v>4</v>
      </c>
      <c r="E66" s="3">
        <v>1</v>
      </c>
      <c r="F66" s="3">
        <v>3</v>
      </c>
      <c r="G66" s="3">
        <v>3</v>
      </c>
      <c r="H66" s="3">
        <v>5</v>
      </c>
      <c r="I66" s="3">
        <v>3</v>
      </c>
      <c r="J66" s="3">
        <v>3</v>
      </c>
      <c r="K66" s="6">
        <f t="shared" si="4"/>
        <v>3.125</v>
      </c>
    </row>
    <row r="67" spans="2:11" x14ac:dyDescent="0.2">
      <c r="B67" s="4" t="s">
        <v>9</v>
      </c>
      <c r="C67" s="3">
        <v>3</v>
      </c>
      <c r="D67" s="3">
        <v>3</v>
      </c>
      <c r="E67" s="3">
        <v>1</v>
      </c>
      <c r="F67" s="3">
        <v>1</v>
      </c>
      <c r="G67" s="3">
        <v>4</v>
      </c>
      <c r="H67" s="3">
        <v>4</v>
      </c>
      <c r="I67" s="3">
        <v>3</v>
      </c>
      <c r="J67" s="3">
        <v>4</v>
      </c>
      <c r="K67" s="6">
        <f t="shared" si="4"/>
        <v>2.875</v>
      </c>
    </row>
  </sheetData>
  <mergeCells count="10">
    <mergeCell ref="B42:J42"/>
    <mergeCell ref="C43:J43"/>
    <mergeCell ref="B56:J56"/>
    <mergeCell ref="C57:J57"/>
    <mergeCell ref="B2:J2"/>
    <mergeCell ref="B14:J14"/>
    <mergeCell ref="C15:J15"/>
    <mergeCell ref="B28:J28"/>
    <mergeCell ref="C29:J29"/>
    <mergeCell ref="C3:J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6C4D-AA7D-495C-A1E7-D519C93CAD73}">
  <dimension ref="A1:J10"/>
  <sheetViews>
    <sheetView tabSelected="1" workbookViewId="0">
      <selection activeCell="F14" sqref="F14"/>
    </sheetView>
  </sheetViews>
  <sheetFormatPr baseColWidth="10" defaultRowHeight="16" x14ac:dyDescent="0.2"/>
  <sheetData>
    <row r="1" spans="1:10" ht="24" x14ac:dyDescent="0.25">
      <c r="A1" s="16" t="s">
        <v>52</v>
      </c>
      <c r="B1" s="16"/>
      <c r="C1" s="16"/>
      <c r="D1" s="16"/>
      <c r="E1" s="16"/>
      <c r="F1" s="16"/>
      <c r="G1" s="16"/>
      <c r="H1" s="16"/>
      <c r="I1" s="16"/>
      <c r="J1" s="2"/>
    </row>
    <row r="2" spans="1:10" x14ac:dyDescent="0.2">
      <c r="B2" s="17" t="s">
        <v>20</v>
      </c>
      <c r="C2" s="18"/>
      <c r="D2" s="18"/>
      <c r="E2" s="18"/>
      <c r="F2" s="18"/>
      <c r="G2" s="18"/>
      <c r="H2" s="18"/>
      <c r="I2" s="19"/>
      <c r="J2" s="2"/>
    </row>
    <row r="3" spans="1:10" x14ac:dyDescent="0.2">
      <c r="A3" s="14" t="s">
        <v>0</v>
      </c>
      <c r="B3" s="13">
        <v>1</v>
      </c>
      <c r="C3" s="13">
        <v>2</v>
      </c>
      <c r="D3" s="13">
        <v>3</v>
      </c>
      <c r="E3" s="13">
        <v>4</v>
      </c>
      <c r="F3" s="13">
        <v>5</v>
      </c>
      <c r="G3" s="13">
        <v>6</v>
      </c>
      <c r="H3" s="13">
        <v>7</v>
      </c>
      <c r="I3" s="13">
        <v>8</v>
      </c>
      <c r="J3" s="13" t="s">
        <v>26</v>
      </c>
    </row>
    <row r="4" spans="1:10" x14ac:dyDescent="0.2">
      <c r="A4" s="14" t="s">
        <v>46</v>
      </c>
      <c r="B4" s="12">
        <v>1</v>
      </c>
      <c r="C4" s="12">
        <v>2</v>
      </c>
      <c r="D4" s="12">
        <v>2</v>
      </c>
      <c r="E4" s="12">
        <v>2</v>
      </c>
      <c r="F4" s="12">
        <v>1</v>
      </c>
      <c r="G4" s="12">
        <v>1</v>
      </c>
      <c r="H4" s="12">
        <v>1</v>
      </c>
      <c r="I4" s="12">
        <v>2</v>
      </c>
      <c r="J4" s="3">
        <f t="shared" ref="J4:J9" si="0">AVERAGE(B4:I4)</f>
        <v>1.5</v>
      </c>
    </row>
    <row r="5" spans="1:10" x14ac:dyDescent="0.2">
      <c r="A5" s="14" t="s">
        <v>47</v>
      </c>
      <c r="B5" s="12">
        <v>2</v>
      </c>
      <c r="C5" s="12">
        <v>0</v>
      </c>
      <c r="D5" s="12">
        <v>0</v>
      </c>
      <c r="E5" s="12">
        <v>1</v>
      </c>
      <c r="F5" s="12">
        <v>2</v>
      </c>
      <c r="G5" s="12">
        <v>3</v>
      </c>
      <c r="H5" s="12">
        <v>3</v>
      </c>
      <c r="I5" s="12">
        <v>2</v>
      </c>
      <c r="J5" s="3">
        <f t="shared" si="0"/>
        <v>1.625</v>
      </c>
    </row>
    <row r="6" spans="1:10" x14ac:dyDescent="0.2">
      <c r="A6" s="14" t="s">
        <v>48</v>
      </c>
      <c r="B6" s="12">
        <v>0</v>
      </c>
      <c r="C6" s="12">
        <v>2</v>
      </c>
      <c r="D6" s="12">
        <v>1</v>
      </c>
      <c r="E6" s="12">
        <v>2</v>
      </c>
      <c r="F6" s="12">
        <v>1</v>
      </c>
      <c r="G6" s="12">
        <v>1</v>
      </c>
      <c r="H6" s="12">
        <v>1</v>
      </c>
      <c r="I6" s="12">
        <v>1</v>
      </c>
      <c r="J6" s="3">
        <f t="shared" si="0"/>
        <v>1.125</v>
      </c>
    </row>
    <row r="7" spans="1:10" x14ac:dyDescent="0.2">
      <c r="A7" s="14" t="s">
        <v>49</v>
      </c>
      <c r="B7" s="12">
        <v>0</v>
      </c>
      <c r="C7" s="12">
        <v>0</v>
      </c>
      <c r="D7" s="12">
        <v>0</v>
      </c>
      <c r="E7" s="12">
        <v>0</v>
      </c>
      <c r="F7" s="12">
        <v>1</v>
      </c>
      <c r="G7" s="12">
        <v>1</v>
      </c>
      <c r="H7" s="12">
        <v>0</v>
      </c>
      <c r="I7" s="12">
        <v>0</v>
      </c>
      <c r="J7" s="3">
        <f t="shared" si="0"/>
        <v>0.25</v>
      </c>
    </row>
    <row r="8" spans="1:10" x14ac:dyDescent="0.2">
      <c r="A8" s="14" t="s">
        <v>9</v>
      </c>
      <c r="B8" s="12">
        <v>1</v>
      </c>
      <c r="C8" s="12">
        <v>1</v>
      </c>
      <c r="D8" s="12">
        <v>2</v>
      </c>
      <c r="E8" s="12">
        <v>2</v>
      </c>
      <c r="F8" s="12">
        <v>1</v>
      </c>
      <c r="G8" s="12">
        <v>2</v>
      </c>
      <c r="H8" s="12">
        <v>2</v>
      </c>
      <c r="I8" s="12">
        <v>1</v>
      </c>
      <c r="J8" s="3">
        <f t="shared" si="0"/>
        <v>1.5</v>
      </c>
    </row>
    <row r="9" spans="1:10" x14ac:dyDescent="0.2">
      <c r="A9" s="15" t="s">
        <v>50</v>
      </c>
      <c r="B9" s="12">
        <v>3</v>
      </c>
      <c r="C9" s="12">
        <v>3</v>
      </c>
      <c r="D9" s="12">
        <v>3</v>
      </c>
      <c r="E9" s="12">
        <v>0</v>
      </c>
      <c r="F9" s="12">
        <v>2</v>
      </c>
      <c r="G9" s="12">
        <v>2</v>
      </c>
      <c r="H9" s="12">
        <v>1</v>
      </c>
      <c r="I9" s="12">
        <v>1</v>
      </c>
      <c r="J9" s="10">
        <f t="shared" si="0"/>
        <v>1.875</v>
      </c>
    </row>
    <row r="10" spans="1:10" x14ac:dyDescent="0.2">
      <c r="A10" s="14" t="s">
        <v>51</v>
      </c>
      <c r="B10" s="3">
        <v>2</v>
      </c>
      <c r="C10" s="3">
        <v>2</v>
      </c>
      <c r="D10" s="3">
        <v>2</v>
      </c>
      <c r="E10" s="3">
        <v>1</v>
      </c>
      <c r="F10" s="3">
        <v>1</v>
      </c>
      <c r="G10" s="3">
        <v>1</v>
      </c>
      <c r="H10" s="3">
        <v>1</v>
      </c>
      <c r="I10" s="3">
        <v>0</v>
      </c>
      <c r="J10" s="3">
        <f>AVERAGE(B10:I10)</f>
        <v>1.25</v>
      </c>
    </row>
  </sheetData>
  <mergeCells count="2">
    <mergeCell ref="A1:I1"/>
    <mergeCell ref="B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D032-86D1-2E4C-9B28-7B85BC38C1CE}">
  <dimension ref="B1:R69"/>
  <sheetViews>
    <sheetView topLeftCell="A44" zoomScale="84" zoomScaleNormal="84" workbookViewId="0">
      <selection activeCell="U44" sqref="U44"/>
    </sheetView>
  </sheetViews>
  <sheetFormatPr baseColWidth="10" defaultRowHeight="16" x14ac:dyDescent="0.2"/>
  <cols>
    <col min="13" max="13" width="10.83203125" style="2"/>
  </cols>
  <sheetData>
    <row r="1" spans="2:13" x14ac:dyDescent="0.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3" ht="24" x14ac:dyDescent="0.25">
      <c r="B2" s="16" t="s">
        <v>19</v>
      </c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2:13" x14ac:dyDescent="0.2">
      <c r="C3" s="20" t="s">
        <v>20</v>
      </c>
      <c r="D3" s="20"/>
      <c r="E3" s="20"/>
      <c r="F3" s="20"/>
      <c r="G3" s="20"/>
      <c r="H3" s="20"/>
      <c r="I3" s="20"/>
      <c r="J3" s="20"/>
      <c r="K3" s="20"/>
      <c r="L3" s="20"/>
    </row>
    <row r="4" spans="2:13" x14ac:dyDescent="0.2">
      <c r="B4" s="4" t="s">
        <v>0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  <c r="J4" s="3" t="s">
        <v>25</v>
      </c>
      <c r="K4" s="3" t="s">
        <v>17</v>
      </c>
      <c r="L4" s="3" t="s">
        <v>18</v>
      </c>
      <c r="M4" s="3" t="s">
        <v>26</v>
      </c>
    </row>
    <row r="5" spans="2:13" x14ac:dyDescent="0.2">
      <c r="B5" s="4" t="s">
        <v>1</v>
      </c>
      <c r="C5" s="3">
        <v>3</v>
      </c>
      <c r="D5" s="3">
        <v>3</v>
      </c>
      <c r="E5" s="3">
        <v>5</v>
      </c>
      <c r="F5" s="3">
        <v>4</v>
      </c>
      <c r="G5" s="3">
        <v>3</v>
      </c>
      <c r="H5" s="3">
        <v>4</v>
      </c>
      <c r="I5" s="3">
        <v>4</v>
      </c>
      <c r="J5" s="3">
        <v>3</v>
      </c>
      <c r="K5" s="3">
        <v>4</v>
      </c>
      <c r="L5" s="3">
        <v>4</v>
      </c>
      <c r="M5" s="3">
        <f>AVERAGE(C5:L5)</f>
        <v>3.7</v>
      </c>
    </row>
    <row r="6" spans="2:13" x14ac:dyDescent="0.2">
      <c r="B6" s="4" t="s">
        <v>2</v>
      </c>
      <c r="C6" s="3">
        <v>3</v>
      </c>
      <c r="D6" s="3">
        <v>2</v>
      </c>
      <c r="E6" s="3">
        <v>2</v>
      </c>
      <c r="F6" s="3">
        <v>3</v>
      </c>
      <c r="G6" s="3">
        <v>2</v>
      </c>
      <c r="H6" s="3">
        <v>3</v>
      </c>
      <c r="I6" s="3">
        <v>3</v>
      </c>
      <c r="J6" s="3">
        <v>3</v>
      </c>
      <c r="K6" s="3">
        <v>2</v>
      </c>
      <c r="L6" s="3">
        <v>3</v>
      </c>
      <c r="M6" s="3">
        <f t="shared" ref="M6:M13" si="0">AVERAGE(C6:L6)</f>
        <v>2.6</v>
      </c>
    </row>
    <row r="7" spans="2:13" x14ac:dyDescent="0.2">
      <c r="B7" s="4" t="s">
        <v>3</v>
      </c>
      <c r="C7" s="3">
        <v>2</v>
      </c>
      <c r="D7" s="3">
        <v>5</v>
      </c>
      <c r="E7" s="3">
        <v>1</v>
      </c>
      <c r="F7" s="3">
        <v>2</v>
      </c>
      <c r="G7" s="3">
        <v>4</v>
      </c>
      <c r="H7" s="3">
        <v>2</v>
      </c>
      <c r="I7" s="3">
        <v>2</v>
      </c>
      <c r="J7" s="3">
        <v>2</v>
      </c>
      <c r="K7" s="3">
        <v>3</v>
      </c>
      <c r="L7" s="3">
        <v>2</v>
      </c>
      <c r="M7" s="3">
        <f t="shared" si="0"/>
        <v>2.5</v>
      </c>
    </row>
    <row r="8" spans="2:13" x14ac:dyDescent="0.2">
      <c r="B8" s="4" t="s">
        <v>4</v>
      </c>
      <c r="C8" s="3">
        <v>2</v>
      </c>
      <c r="D8" s="3">
        <v>2</v>
      </c>
      <c r="E8" s="3">
        <v>1</v>
      </c>
      <c r="F8" s="3">
        <v>1</v>
      </c>
      <c r="G8" s="3">
        <v>3</v>
      </c>
      <c r="H8" s="3">
        <v>3</v>
      </c>
      <c r="I8" s="3">
        <v>3</v>
      </c>
      <c r="J8" s="3">
        <v>3</v>
      </c>
      <c r="K8" s="3">
        <v>1</v>
      </c>
      <c r="L8" s="3">
        <v>2</v>
      </c>
      <c r="M8" s="3">
        <f t="shared" si="0"/>
        <v>2.1</v>
      </c>
    </row>
    <row r="9" spans="2:13" x14ac:dyDescent="0.2">
      <c r="B9" s="4" t="s">
        <v>5</v>
      </c>
      <c r="C9" s="3">
        <v>1</v>
      </c>
      <c r="D9" s="3">
        <v>1</v>
      </c>
      <c r="E9" s="3">
        <v>1</v>
      </c>
      <c r="F9" s="3">
        <v>2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f t="shared" si="0"/>
        <v>1.1000000000000001</v>
      </c>
    </row>
    <row r="10" spans="2:13" x14ac:dyDescent="0.2">
      <c r="B10" s="4" t="s">
        <v>6</v>
      </c>
      <c r="C10" s="3">
        <v>3</v>
      </c>
      <c r="D10" s="3">
        <v>2</v>
      </c>
      <c r="E10" s="3">
        <v>1</v>
      </c>
      <c r="F10" s="3">
        <v>2</v>
      </c>
      <c r="G10" s="3">
        <v>3</v>
      </c>
      <c r="H10" s="3">
        <v>3</v>
      </c>
      <c r="I10" s="3">
        <v>2</v>
      </c>
      <c r="J10" s="3">
        <v>1</v>
      </c>
      <c r="K10" s="3">
        <v>2</v>
      </c>
      <c r="L10" s="3">
        <v>2</v>
      </c>
      <c r="M10" s="3">
        <f t="shared" si="0"/>
        <v>2.1</v>
      </c>
    </row>
    <row r="11" spans="2:13" x14ac:dyDescent="0.2">
      <c r="B11" s="4" t="s">
        <v>7</v>
      </c>
      <c r="C11" s="3">
        <v>2</v>
      </c>
      <c r="D11" s="3">
        <v>1</v>
      </c>
      <c r="E11" s="3">
        <v>1</v>
      </c>
      <c r="F11" s="3">
        <v>4</v>
      </c>
      <c r="G11" s="3">
        <v>4</v>
      </c>
      <c r="H11" s="3">
        <v>4</v>
      </c>
      <c r="I11" s="3">
        <v>3</v>
      </c>
      <c r="J11" s="3">
        <v>4</v>
      </c>
      <c r="K11" s="3">
        <v>2</v>
      </c>
      <c r="L11" s="3">
        <v>3</v>
      </c>
      <c r="M11" s="3">
        <f t="shared" si="0"/>
        <v>2.8</v>
      </c>
    </row>
    <row r="12" spans="2:13" x14ac:dyDescent="0.2">
      <c r="B12" s="4" t="s">
        <v>8</v>
      </c>
      <c r="C12" s="3">
        <v>3</v>
      </c>
      <c r="D12" s="3">
        <v>1</v>
      </c>
      <c r="E12" s="3">
        <v>1</v>
      </c>
      <c r="F12" s="3">
        <v>2</v>
      </c>
      <c r="G12" s="3">
        <v>2</v>
      </c>
      <c r="H12" s="3">
        <v>1</v>
      </c>
      <c r="I12" s="3">
        <v>3</v>
      </c>
      <c r="J12" s="3">
        <v>2</v>
      </c>
      <c r="K12" s="3">
        <v>4</v>
      </c>
      <c r="L12" s="3">
        <v>3</v>
      </c>
      <c r="M12" s="3">
        <f t="shared" si="0"/>
        <v>2.2000000000000002</v>
      </c>
    </row>
    <row r="13" spans="2:13" x14ac:dyDescent="0.2">
      <c r="B13" s="4" t="s">
        <v>9</v>
      </c>
      <c r="C13" s="3">
        <v>3</v>
      </c>
      <c r="D13" s="3">
        <v>3</v>
      </c>
      <c r="E13" s="3">
        <v>1</v>
      </c>
      <c r="F13" s="3">
        <v>1</v>
      </c>
      <c r="G13" s="3">
        <v>2</v>
      </c>
      <c r="H13" s="3">
        <v>2</v>
      </c>
      <c r="I13" s="3">
        <v>2</v>
      </c>
      <c r="J13" s="3">
        <v>1</v>
      </c>
      <c r="K13" s="3">
        <v>1</v>
      </c>
      <c r="L13" s="3">
        <v>2</v>
      </c>
      <c r="M13" s="3">
        <f t="shared" si="0"/>
        <v>1.8</v>
      </c>
    </row>
    <row r="16" spans="2:13" ht="24" x14ac:dyDescent="0.25">
      <c r="B16" s="16" t="s">
        <v>21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2:13" x14ac:dyDescent="0.2">
      <c r="C17" s="20" t="s">
        <v>20</v>
      </c>
      <c r="D17" s="20"/>
      <c r="E17" s="20"/>
      <c r="F17" s="20"/>
      <c r="G17" s="20"/>
      <c r="H17" s="20"/>
      <c r="I17" s="20"/>
      <c r="J17" s="20"/>
      <c r="K17" s="20"/>
      <c r="L17" s="20"/>
    </row>
    <row r="18" spans="2:13" x14ac:dyDescent="0.2">
      <c r="B18" s="4" t="s">
        <v>0</v>
      </c>
      <c r="C18" s="3" t="s">
        <v>10</v>
      </c>
      <c r="D18" s="3" t="s">
        <v>11</v>
      </c>
      <c r="E18" s="3" t="s">
        <v>12</v>
      </c>
      <c r="F18" s="3" t="s">
        <v>13</v>
      </c>
      <c r="G18" s="3" t="s">
        <v>14</v>
      </c>
      <c r="H18" s="3" t="s">
        <v>15</v>
      </c>
      <c r="I18" s="3" t="s">
        <v>16</v>
      </c>
      <c r="J18" s="3" t="s">
        <v>25</v>
      </c>
      <c r="K18" s="3" t="s">
        <v>17</v>
      </c>
      <c r="L18" s="3" t="s">
        <v>18</v>
      </c>
      <c r="M18" s="3" t="s">
        <v>26</v>
      </c>
    </row>
    <row r="19" spans="2:13" x14ac:dyDescent="0.2">
      <c r="B19" s="4" t="s">
        <v>1</v>
      </c>
      <c r="C19" s="3">
        <v>4</v>
      </c>
      <c r="D19" s="3">
        <v>4</v>
      </c>
      <c r="E19" s="3">
        <v>4</v>
      </c>
      <c r="F19" s="3">
        <v>2</v>
      </c>
      <c r="G19" s="3">
        <v>3</v>
      </c>
      <c r="H19" s="3">
        <v>3</v>
      </c>
      <c r="I19" s="3">
        <v>4</v>
      </c>
      <c r="J19" s="3">
        <v>4</v>
      </c>
      <c r="K19" s="3">
        <v>3</v>
      </c>
      <c r="L19" s="3">
        <v>3</v>
      </c>
      <c r="M19" s="6">
        <f>AVERAGE(C19:L19)</f>
        <v>3.4</v>
      </c>
    </row>
    <row r="20" spans="2:13" x14ac:dyDescent="0.2">
      <c r="B20" s="4" t="s">
        <v>2</v>
      </c>
      <c r="C20" s="3">
        <v>4</v>
      </c>
      <c r="D20" s="3">
        <v>3</v>
      </c>
      <c r="E20" s="3">
        <v>3</v>
      </c>
      <c r="F20" s="3">
        <v>1</v>
      </c>
      <c r="G20" s="3">
        <v>3</v>
      </c>
      <c r="H20" s="3">
        <v>3</v>
      </c>
      <c r="I20" s="3">
        <v>4</v>
      </c>
      <c r="J20" s="3">
        <v>4</v>
      </c>
      <c r="K20" s="3">
        <v>4</v>
      </c>
      <c r="L20" s="3">
        <v>4</v>
      </c>
      <c r="M20" s="6">
        <f t="shared" ref="M20:M69" si="1">AVERAGE(C20:L20)</f>
        <v>3.3</v>
      </c>
    </row>
    <row r="21" spans="2:13" x14ac:dyDescent="0.2">
      <c r="B21" s="4" t="s">
        <v>3</v>
      </c>
      <c r="C21" s="3">
        <v>1</v>
      </c>
      <c r="D21" s="3">
        <v>2</v>
      </c>
      <c r="E21" s="3">
        <v>2</v>
      </c>
      <c r="F21" s="3">
        <v>1</v>
      </c>
      <c r="G21" s="3">
        <v>3</v>
      </c>
      <c r="H21" s="3">
        <v>2</v>
      </c>
      <c r="I21" s="3">
        <v>3</v>
      </c>
      <c r="J21" s="3">
        <v>3</v>
      </c>
      <c r="K21" s="3">
        <v>2</v>
      </c>
      <c r="L21" s="3">
        <v>1</v>
      </c>
      <c r="M21" s="6">
        <f t="shared" si="1"/>
        <v>2</v>
      </c>
    </row>
    <row r="22" spans="2:13" x14ac:dyDescent="0.2">
      <c r="B22" s="4" t="s">
        <v>4</v>
      </c>
      <c r="C22" s="3">
        <v>2</v>
      </c>
      <c r="D22" s="3">
        <v>5</v>
      </c>
      <c r="E22" s="3">
        <v>1</v>
      </c>
      <c r="F22" s="3">
        <v>1</v>
      </c>
      <c r="G22" s="3">
        <v>4</v>
      </c>
      <c r="H22" s="3">
        <v>4</v>
      </c>
      <c r="I22" s="3">
        <v>2</v>
      </c>
      <c r="J22" s="3">
        <v>4</v>
      </c>
      <c r="K22" s="3">
        <v>2</v>
      </c>
      <c r="L22" s="3">
        <v>2</v>
      </c>
      <c r="M22" s="6">
        <f t="shared" si="1"/>
        <v>2.7</v>
      </c>
    </row>
    <row r="23" spans="2:13" x14ac:dyDescent="0.2">
      <c r="B23" s="4" t="s">
        <v>5</v>
      </c>
      <c r="C23" s="3">
        <v>1</v>
      </c>
      <c r="D23" s="3">
        <v>1</v>
      </c>
      <c r="E23" s="3">
        <v>1</v>
      </c>
      <c r="F23" s="3">
        <v>2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2</v>
      </c>
      <c r="M23" s="6">
        <f t="shared" si="1"/>
        <v>1.2</v>
      </c>
    </row>
    <row r="24" spans="2:13" x14ac:dyDescent="0.2">
      <c r="B24" s="4" t="s">
        <v>6</v>
      </c>
      <c r="C24" s="3">
        <v>3</v>
      </c>
      <c r="D24" s="3">
        <v>2</v>
      </c>
      <c r="E24" s="3">
        <v>1</v>
      </c>
      <c r="F24" s="3">
        <v>1</v>
      </c>
      <c r="G24" s="3">
        <v>3</v>
      </c>
      <c r="H24" s="3">
        <v>2</v>
      </c>
      <c r="I24" s="3">
        <v>4</v>
      </c>
      <c r="J24" s="3">
        <v>1</v>
      </c>
      <c r="K24" s="3">
        <v>1</v>
      </c>
      <c r="L24" s="3">
        <v>2</v>
      </c>
      <c r="M24" s="6">
        <f t="shared" si="1"/>
        <v>2</v>
      </c>
    </row>
    <row r="25" spans="2:13" x14ac:dyDescent="0.2">
      <c r="B25" s="4" t="s">
        <v>7</v>
      </c>
      <c r="C25" s="3">
        <v>2</v>
      </c>
      <c r="D25" s="3">
        <v>1</v>
      </c>
      <c r="E25" s="3">
        <v>1</v>
      </c>
      <c r="F25" s="3">
        <v>3</v>
      </c>
      <c r="G25" s="3">
        <v>3</v>
      </c>
      <c r="H25" s="3">
        <v>4</v>
      </c>
      <c r="I25" s="3">
        <v>1</v>
      </c>
      <c r="J25" s="3">
        <v>3</v>
      </c>
      <c r="K25" s="3">
        <v>1</v>
      </c>
      <c r="L25" s="3">
        <v>2</v>
      </c>
      <c r="M25" s="6">
        <f t="shared" si="1"/>
        <v>2.1</v>
      </c>
    </row>
    <row r="26" spans="2:13" x14ac:dyDescent="0.2">
      <c r="B26" s="4" t="s">
        <v>8</v>
      </c>
      <c r="C26" s="3">
        <v>2</v>
      </c>
      <c r="D26" s="3">
        <v>3</v>
      </c>
      <c r="E26" s="3">
        <v>1</v>
      </c>
      <c r="F26" s="3">
        <v>1</v>
      </c>
      <c r="G26" s="3">
        <v>3</v>
      </c>
      <c r="H26" s="3">
        <v>2</v>
      </c>
      <c r="I26" s="3">
        <v>4</v>
      </c>
      <c r="J26" s="3">
        <v>3</v>
      </c>
      <c r="K26" s="3">
        <v>3</v>
      </c>
      <c r="L26" s="3">
        <v>2</v>
      </c>
      <c r="M26" s="6">
        <f t="shared" si="1"/>
        <v>2.4</v>
      </c>
    </row>
    <row r="27" spans="2:13" x14ac:dyDescent="0.2">
      <c r="B27" s="4" t="s">
        <v>9</v>
      </c>
      <c r="C27" s="3">
        <v>3</v>
      </c>
      <c r="D27" s="3">
        <v>4</v>
      </c>
      <c r="E27" s="3">
        <v>1</v>
      </c>
      <c r="F27" s="3">
        <v>2</v>
      </c>
      <c r="G27" s="3">
        <v>2</v>
      </c>
      <c r="H27" s="3">
        <v>3</v>
      </c>
      <c r="I27" s="3">
        <v>2</v>
      </c>
      <c r="J27" s="3">
        <v>1</v>
      </c>
      <c r="K27" s="3">
        <v>2</v>
      </c>
      <c r="L27" s="3">
        <v>1</v>
      </c>
      <c r="M27" s="6">
        <f t="shared" si="1"/>
        <v>2.1</v>
      </c>
    </row>
    <row r="28" spans="2:13" x14ac:dyDescent="0.2">
      <c r="M28" s="7"/>
    </row>
    <row r="29" spans="2:13" x14ac:dyDescent="0.2">
      <c r="M29" s="7"/>
    </row>
    <row r="30" spans="2:13" ht="24" x14ac:dyDescent="0.25">
      <c r="B30" s="16" t="s">
        <v>22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7"/>
    </row>
    <row r="31" spans="2:13" x14ac:dyDescent="0.2">
      <c r="C31" s="20" t="s">
        <v>20</v>
      </c>
      <c r="D31" s="20"/>
      <c r="E31" s="20"/>
      <c r="F31" s="20"/>
      <c r="G31" s="20"/>
      <c r="H31" s="20"/>
      <c r="I31" s="20"/>
      <c r="J31" s="20"/>
      <c r="K31" s="20"/>
      <c r="L31" s="20"/>
      <c r="M31" s="7"/>
    </row>
    <row r="32" spans="2:13" x14ac:dyDescent="0.2">
      <c r="B32" s="4" t="s">
        <v>0</v>
      </c>
      <c r="C32" s="3" t="s">
        <v>10</v>
      </c>
      <c r="D32" s="3" t="s">
        <v>11</v>
      </c>
      <c r="E32" s="3" t="s">
        <v>12</v>
      </c>
      <c r="F32" s="3" t="s">
        <v>13</v>
      </c>
      <c r="G32" s="3" t="s">
        <v>14</v>
      </c>
      <c r="H32" s="3" t="s">
        <v>15</v>
      </c>
      <c r="I32" s="3" t="s">
        <v>16</v>
      </c>
      <c r="J32" s="3" t="s">
        <v>25</v>
      </c>
      <c r="K32" s="3" t="s">
        <v>17</v>
      </c>
      <c r="L32" s="5" t="s">
        <v>18</v>
      </c>
      <c r="M32" s="6" t="s">
        <v>26</v>
      </c>
    </row>
    <row r="33" spans="2:18" x14ac:dyDescent="0.2">
      <c r="B33" s="4" t="s">
        <v>1</v>
      </c>
      <c r="C33" s="3">
        <v>3</v>
      </c>
      <c r="D33" s="3">
        <v>3</v>
      </c>
      <c r="E33" s="3">
        <v>2</v>
      </c>
      <c r="F33" s="3">
        <v>3</v>
      </c>
      <c r="G33" s="3">
        <v>4</v>
      </c>
      <c r="H33" s="3">
        <v>3</v>
      </c>
      <c r="I33" s="3">
        <v>3</v>
      </c>
      <c r="J33" s="3">
        <v>3</v>
      </c>
      <c r="K33" s="3">
        <v>3</v>
      </c>
      <c r="L33" s="5">
        <v>4</v>
      </c>
      <c r="M33" s="6">
        <f t="shared" si="1"/>
        <v>3.1</v>
      </c>
    </row>
    <row r="34" spans="2:18" x14ac:dyDescent="0.2">
      <c r="B34" s="4" t="s">
        <v>2</v>
      </c>
      <c r="C34" s="3">
        <v>3</v>
      </c>
      <c r="D34" s="3">
        <v>5</v>
      </c>
      <c r="E34" s="3">
        <v>3</v>
      </c>
      <c r="F34" s="3">
        <v>2</v>
      </c>
      <c r="G34" s="3">
        <v>3</v>
      </c>
      <c r="H34" s="3">
        <v>4</v>
      </c>
      <c r="I34" s="3">
        <v>3</v>
      </c>
      <c r="J34" s="3">
        <v>3</v>
      </c>
      <c r="K34" s="3">
        <v>1</v>
      </c>
      <c r="L34" s="5">
        <v>2</v>
      </c>
      <c r="M34" s="6">
        <f t="shared" si="1"/>
        <v>2.9</v>
      </c>
    </row>
    <row r="35" spans="2:18" x14ac:dyDescent="0.2">
      <c r="B35" s="4" t="s">
        <v>3</v>
      </c>
      <c r="C35" s="3">
        <v>1</v>
      </c>
      <c r="D35" s="3">
        <v>5</v>
      </c>
      <c r="E35" s="3">
        <v>2</v>
      </c>
      <c r="F35" s="3">
        <v>1</v>
      </c>
      <c r="G35" s="3">
        <v>3</v>
      </c>
      <c r="H35" s="3">
        <v>3</v>
      </c>
      <c r="I35" s="3">
        <v>2</v>
      </c>
      <c r="J35" s="3">
        <v>2</v>
      </c>
      <c r="K35" s="3">
        <v>1</v>
      </c>
      <c r="L35" s="5">
        <v>3</v>
      </c>
      <c r="M35" s="6">
        <f t="shared" si="1"/>
        <v>2.2999999999999998</v>
      </c>
      <c r="R35" t="s">
        <v>27</v>
      </c>
    </row>
    <row r="36" spans="2:18" x14ac:dyDescent="0.2">
      <c r="B36" s="4" t="s">
        <v>4</v>
      </c>
      <c r="C36" s="3">
        <v>2</v>
      </c>
      <c r="D36" s="3">
        <v>1</v>
      </c>
      <c r="E36" s="3">
        <v>1</v>
      </c>
      <c r="F36" s="3">
        <v>2</v>
      </c>
      <c r="G36" s="3">
        <v>4</v>
      </c>
      <c r="H36" s="3">
        <v>2</v>
      </c>
      <c r="I36" s="3">
        <v>2</v>
      </c>
      <c r="J36" s="3">
        <v>2</v>
      </c>
      <c r="K36" s="3">
        <v>3</v>
      </c>
      <c r="L36" s="5">
        <v>3</v>
      </c>
      <c r="M36" s="6">
        <f t="shared" si="1"/>
        <v>2.2000000000000002</v>
      </c>
    </row>
    <row r="37" spans="2:18" x14ac:dyDescent="0.2">
      <c r="B37" s="4" t="s">
        <v>5</v>
      </c>
      <c r="C37" s="3">
        <v>1</v>
      </c>
      <c r="D37" s="3">
        <v>1</v>
      </c>
      <c r="E37" s="3">
        <v>1</v>
      </c>
      <c r="F37" s="3">
        <v>1</v>
      </c>
      <c r="G37" s="3">
        <v>1</v>
      </c>
      <c r="H37" s="3">
        <v>2</v>
      </c>
      <c r="I37" s="3">
        <v>1</v>
      </c>
      <c r="J37" s="3">
        <v>1</v>
      </c>
      <c r="K37" s="3">
        <v>1</v>
      </c>
      <c r="L37" s="5">
        <v>1</v>
      </c>
      <c r="M37" s="6">
        <f t="shared" si="1"/>
        <v>1.1000000000000001</v>
      </c>
    </row>
    <row r="38" spans="2:18" x14ac:dyDescent="0.2">
      <c r="B38" s="4" t="s">
        <v>6</v>
      </c>
      <c r="C38" s="3">
        <v>2</v>
      </c>
      <c r="D38" s="3">
        <v>1</v>
      </c>
      <c r="E38" s="3">
        <v>1</v>
      </c>
      <c r="F38" s="3">
        <v>1</v>
      </c>
      <c r="G38" s="3">
        <v>2</v>
      </c>
      <c r="H38" s="3">
        <v>2</v>
      </c>
      <c r="I38" s="3">
        <v>2</v>
      </c>
      <c r="J38" s="3">
        <v>1</v>
      </c>
      <c r="K38" s="3">
        <v>3</v>
      </c>
      <c r="L38" s="5">
        <v>3</v>
      </c>
      <c r="M38" s="6">
        <f t="shared" si="1"/>
        <v>1.8</v>
      </c>
    </row>
    <row r="39" spans="2:18" x14ac:dyDescent="0.2">
      <c r="B39" s="4" t="s">
        <v>7</v>
      </c>
      <c r="C39" s="3">
        <v>2</v>
      </c>
      <c r="D39" s="3">
        <v>1</v>
      </c>
      <c r="E39" s="3">
        <v>1</v>
      </c>
      <c r="F39" s="3">
        <v>3</v>
      </c>
      <c r="G39" s="3">
        <v>3</v>
      </c>
      <c r="H39" s="3">
        <v>3</v>
      </c>
      <c r="I39" s="3">
        <v>2</v>
      </c>
      <c r="J39" s="3">
        <v>4</v>
      </c>
      <c r="K39" s="3">
        <v>4</v>
      </c>
      <c r="L39" s="5">
        <v>2</v>
      </c>
      <c r="M39" s="6">
        <f t="shared" si="1"/>
        <v>2.5</v>
      </c>
    </row>
    <row r="40" spans="2:18" x14ac:dyDescent="0.2">
      <c r="B40" s="4" t="s">
        <v>8</v>
      </c>
      <c r="C40" s="3">
        <v>2</v>
      </c>
      <c r="D40" s="3">
        <v>3</v>
      </c>
      <c r="E40" s="3">
        <v>1</v>
      </c>
      <c r="F40" s="3">
        <v>2</v>
      </c>
      <c r="G40" s="3">
        <v>3</v>
      </c>
      <c r="H40" s="3">
        <v>3</v>
      </c>
      <c r="I40" s="3">
        <v>3</v>
      </c>
      <c r="J40" s="3">
        <v>2</v>
      </c>
      <c r="K40" s="3">
        <v>3</v>
      </c>
      <c r="L40" s="5">
        <v>2</v>
      </c>
      <c r="M40" s="6">
        <f t="shared" si="1"/>
        <v>2.4</v>
      </c>
    </row>
    <row r="41" spans="2:18" x14ac:dyDescent="0.2">
      <c r="B41" s="4" t="s">
        <v>9</v>
      </c>
      <c r="C41" s="3">
        <v>2</v>
      </c>
      <c r="D41" s="3">
        <v>3</v>
      </c>
      <c r="E41" s="3">
        <v>2</v>
      </c>
      <c r="F41" s="3">
        <v>2</v>
      </c>
      <c r="G41" s="3">
        <v>2</v>
      </c>
      <c r="H41" s="3">
        <v>1</v>
      </c>
      <c r="I41" s="3">
        <v>3</v>
      </c>
      <c r="J41" s="3">
        <v>3</v>
      </c>
      <c r="K41" s="3">
        <v>3</v>
      </c>
      <c r="L41" s="5">
        <v>3</v>
      </c>
      <c r="M41" s="6">
        <f t="shared" si="1"/>
        <v>2.4</v>
      </c>
    </row>
    <row r="42" spans="2:18" x14ac:dyDescent="0.2">
      <c r="M42" s="7"/>
    </row>
    <row r="43" spans="2:18" x14ac:dyDescent="0.2">
      <c r="M43" s="7"/>
    </row>
    <row r="44" spans="2:18" ht="24" x14ac:dyDescent="0.25">
      <c r="B44" s="16" t="s">
        <v>23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7"/>
    </row>
    <row r="45" spans="2:18" x14ac:dyDescent="0.2">
      <c r="C45" s="20" t="s">
        <v>20</v>
      </c>
      <c r="D45" s="20"/>
      <c r="E45" s="20"/>
      <c r="F45" s="20"/>
      <c r="G45" s="20"/>
      <c r="H45" s="20"/>
      <c r="I45" s="20"/>
      <c r="J45" s="20"/>
      <c r="K45" s="20"/>
      <c r="L45" s="20"/>
      <c r="M45" s="7"/>
    </row>
    <row r="46" spans="2:18" x14ac:dyDescent="0.2">
      <c r="B46" s="4" t="s">
        <v>0</v>
      </c>
      <c r="C46" s="3" t="s">
        <v>10</v>
      </c>
      <c r="D46" s="3" t="s">
        <v>11</v>
      </c>
      <c r="E46" s="3" t="s">
        <v>12</v>
      </c>
      <c r="F46" s="3" t="s">
        <v>13</v>
      </c>
      <c r="G46" s="3" t="s">
        <v>14</v>
      </c>
      <c r="H46" s="3" t="s">
        <v>15</v>
      </c>
      <c r="I46" s="3" t="s">
        <v>16</v>
      </c>
      <c r="J46" s="3" t="s">
        <v>25</v>
      </c>
      <c r="K46" s="3" t="s">
        <v>17</v>
      </c>
      <c r="L46" s="5" t="s">
        <v>18</v>
      </c>
      <c r="M46" s="6" t="s">
        <v>26</v>
      </c>
    </row>
    <row r="47" spans="2:18" x14ac:dyDescent="0.2">
      <c r="B47" s="4" t="s">
        <v>1</v>
      </c>
      <c r="C47" s="3">
        <v>4</v>
      </c>
      <c r="D47" s="3">
        <v>4</v>
      </c>
      <c r="E47" s="3">
        <v>2</v>
      </c>
      <c r="F47" s="3">
        <v>2</v>
      </c>
      <c r="G47" s="3">
        <v>5</v>
      </c>
      <c r="H47" s="3">
        <v>4</v>
      </c>
      <c r="I47" s="3">
        <v>5</v>
      </c>
      <c r="J47" s="3">
        <v>5</v>
      </c>
      <c r="K47" s="3">
        <v>3</v>
      </c>
      <c r="L47" s="5">
        <v>5</v>
      </c>
      <c r="M47" s="6">
        <f t="shared" si="1"/>
        <v>3.9</v>
      </c>
    </row>
    <row r="48" spans="2:18" x14ac:dyDescent="0.2">
      <c r="B48" s="4" t="s">
        <v>2</v>
      </c>
      <c r="C48" s="3">
        <v>4</v>
      </c>
      <c r="D48" s="3">
        <v>2</v>
      </c>
      <c r="E48" s="3">
        <v>3</v>
      </c>
      <c r="F48" s="3">
        <v>2</v>
      </c>
      <c r="G48" s="3">
        <v>4</v>
      </c>
      <c r="H48" s="3">
        <v>3</v>
      </c>
      <c r="I48" s="3">
        <v>3</v>
      </c>
      <c r="J48" s="3">
        <v>4</v>
      </c>
      <c r="K48" s="3">
        <v>4</v>
      </c>
      <c r="L48" s="5">
        <v>2</v>
      </c>
      <c r="M48" s="6">
        <f t="shared" si="1"/>
        <v>3.1</v>
      </c>
    </row>
    <row r="49" spans="2:13" x14ac:dyDescent="0.2">
      <c r="B49" s="4" t="s">
        <v>3</v>
      </c>
      <c r="C49" s="3">
        <v>2</v>
      </c>
      <c r="D49" s="3">
        <v>4</v>
      </c>
      <c r="E49" s="3">
        <v>2</v>
      </c>
      <c r="F49" s="3">
        <v>1</v>
      </c>
      <c r="G49" s="3">
        <v>3</v>
      </c>
      <c r="H49" s="3">
        <v>2</v>
      </c>
      <c r="I49" s="3">
        <v>2</v>
      </c>
      <c r="J49" s="3">
        <v>2</v>
      </c>
      <c r="K49" s="3">
        <v>3</v>
      </c>
      <c r="L49" s="5">
        <v>4</v>
      </c>
      <c r="M49" s="6">
        <f t="shared" si="1"/>
        <v>2.5</v>
      </c>
    </row>
    <row r="50" spans="2:13" x14ac:dyDescent="0.2">
      <c r="B50" s="4" t="s">
        <v>4</v>
      </c>
      <c r="C50" s="3">
        <v>2</v>
      </c>
      <c r="D50" s="3">
        <v>3</v>
      </c>
      <c r="E50" s="3">
        <v>1</v>
      </c>
      <c r="F50" s="3">
        <v>1</v>
      </c>
      <c r="G50" s="3">
        <v>3</v>
      </c>
      <c r="H50" s="3">
        <v>2</v>
      </c>
      <c r="I50" s="3">
        <v>2</v>
      </c>
      <c r="J50" s="3">
        <v>3</v>
      </c>
      <c r="K50" s="3">
        <v>3</v>
      </c>
      <c r="L50" s="5">
        <v>2</v>
      </c>
      <c r="M50" s="6">
        <f t="shared" si="1"/>
        <v>2.2000000000000002</v>
      </c>
    </row>
    <row r="51" spans="2:13" x14ac:dyDescent="0.2">
      <c r="B51" s="4" t="s">
        <v>5</v>
      </c>
      <c r="C51" s="3">
        <v>1</v>
      </c>
      <c r="D51" s="3">
        <v>1</v>
      </c>
      <c r="E51" s="3">
        <v>1</v>
      </c>
      <c r="F51" s="3">
        <v>2</v>
      </c>
      <c r="G51" s="3">
        <v>1</v>
      </c>
      <c r="H51" s="3">
        <v>1</v>
      </c>
      <c r="I51" s="3">
        <v>1</v>
      </c>
      <c r="J51" s="3">
        <v>1</v>
      </c>
      <c r="K51" s="3">
        <v>1</v>
      </c>
      <c r="L51" s="5">
        <v>2</v>
      </c>
      <c r="M51" s="6">
        <f t="shared" si="1"/>
        <v>1.2</v>
      </c>
    </row>
    <row r="52" spans="2:13" x14ac:dyDescent="0.2">
      <c r="B52" s="4" t="s">
        <v>6</v>
      </c>
      <c r="C52" s="3">
        <v>3</v>
      </c>
      <c r="D52" s="3">
        <v>1</v>
      </c>
      <c r="E52" s="3">
        <v>1</v>
      </c>
      <c r="F52" s="3">
        <v>2</v>
      </c>
      <c r="G52" s="3">
        <v>2</v>
      </c>
      <c r="H52" s="3">
        <v>3</v>
      </c>
      <c r="I52" s="3">
        <v>3</v>
      </c>
      <c r="J52" s="3">
        <v>2</v>
      </c>
      <c r="K52" s="3">
        <v>2</v>
      </c>
      <c r="L52" s="5">
        <v>2</v>
      </c>
      <c r="M52" s="6">
        <f t="shared" si="1"/>
        <v>2.1</v>
      </c>
    </row>
    <row r="53" spans="2:13" x14ac:dyDescent="0.2">
      <c r="B53" s="4" t="s">
        <v>7</v>
      </c>
      <c r="C53" s="3">
        <v>4</v>
      </c>
      <c r="D53" s="3">
        <v>1</v>
      </c>
      <c r="E53" s="3">
        <v>1</v>
      </c>
      <c r="F53" s="3">
        <v>3</v>
      </c>
      <c r="G53" s="3">
        <v>3</v>
      </c>
      <c r="H53" s="3">
        <v>4</v>
      </c>
      <c r="I53" s="3">
        <v>5</v>
      </c>
      <c r="J53" s="3">
        <v>4</v>
      </c>
      <c r="K53" s="3">
        <v>4</v>
      </c>
      <c r="L53" s="5">
        <v>3</v>
      </c>
      <c r="M53" s="6">
        <f t="shared" si="1"/>
        <v>3.2</v>
      </c>
    </row>
    <row r="54" spans="2:13" x14ac:dyDescent="0.2">
      <c r="B54" s="4" t="s">
        <v>8</v>
      </c>
      <c r="C54" s="3">
        <v>3</v>
      </c>
      <c r="D54" s="3">
        <v>1</v>
      </c>
      <c r="E54" s="3">
        <v>1</v>
      </c>
      <c r="F54" s="3">
        <v>2</v>
      </c>
      <c r="G54" s="3">
        <v>3</v>
      </c>
      <c r="H54" s="3">
        <v>4</v>
      </c>
      <c r="I54" s="3">
        <v>2</v>
      </c>
      <c r="J54" s="3">
        <v>4</v>
      </c>
      <c r="K54" s="3">
        <v>4</v>
      </c>
      <c r="L54" s="5">
        <v>3</v>
      </c>
      <c r="M54" s="6">
        <f t="shared" si="1"/>
        <v>2.7</v>
      </c>
    </row>
    <row r="55" spans="2:13" x14ac:dyDescent="0.2">
      <c r="B55" s="4" t="s">
        <v>9</v>
      </c>
      <c r="C55" s="3">
        <v>3</v>
      </c>
      <c r="D55" s="3">
        <v>5</v>
      </c>
      <c r="E55" s="3">
        <v>2</v>
      </c>
      <c r="F55" s="3">
        <v>2</v>
      </c>
      <c r="G55" s="3">
        <v>2</v>
      </c>
      <c r="H55" s="3">
        <v>1</v>
      </c>
      <c r="I55" s="3">
        <v>3</v>
      </c>
      <c r="J55" s="3">
        <v>3</v>
      </c>
      <c r="K55" s="3">
        <v>1</v>
      </c>
      <c r="L55" s="5">
        <v>4</v>
      </c>
      <c r="M55" s="6">
        <f t="shared" si="1"/>
        <v>2.6</v>
      </c>
    </row>
    <row r="56" spans="2:13" x14ac:dyDescent="0.2">
      <c r="M56" s="7"/>
    </row>
    <row r="57" spans="2:13" x14ac:dyDescent="0.2">
      <c r="M57" s="7"/>
    </row>
    <row r="58" spans="2:13" ht="24" x14ac:dyDescent="0.25">
      <c r="B58" s="16" t="s">
        <v>24</v>
      </c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7"/>
    </row>
    <row r="59" spans="2:13" x14ac:dyDescent="0.2">
      <c r="C59" s="20" t="s">
        <v>20</v>
      </c>
      <c r="D59" s="20"/>
      <c r="E59" s="20"/>
      <c r="F59" s="20"/>
      <c r="G59" s="20"/>
      <c r="H59" s="20"/>
      <c r="I59" s="20"/>
      <c r="J59" s="20"/>
      <c r="K59" s="20"/>
      <c r="L59" s="20"/>
      <c r="M59" s="7"/>
    </row>
    <row r="60" spans="2:13" x14ac:dyDescent="0.2">
      <c r="B60" s="4" t="s">
        <v>0</v>
      </c>
      <c r="C60" s="3" t="s">
        <v>10</v>
      </c>
      <c r="D60" s="3" t="s">
        <v>11</v>
      </c>
      <c r="E60" s="3" t="s">
        <v>12</v>
      </c>
      <c r="F60" s="3" t="s">
        <v>13</v>
      </c>
      <c r="G60" s="3" t="s">
        <v>14</v>
      </c>
      <c r="H60" s="3" t="s">
        <v>15</v>
      </c>
      <c r="I60" s="3" t="s">
        <v>16</v>
      </c>
      <c r="J60" s="3" t="s">
        <v>25</v>
      </c>
      <c r="K60" s="3" t="s">
        <v>17</v>
      </c>
      <c r="L60" s="5" t="s">
        <v>18</v>
      </c>
      <c r="M60" s="6" t="s">
        <v>26</v>
      </c>
    </row>
    <row r="61" spans="2:13" x14ac:dyDescent="0.2">
      <c r="B61" s="4" t="s">
        <v>1</v>
      </c>
      <c r="C61" s="3">
        <v>4</v>
      </c>
      <c r="D61" s="3">
        <v>5</v>
      </c>
      <c r="E61" s="3">
        <v>3</v>
      </c>
      <c r="F61" s="3">
        <v>2</v>
      </c>
      <c r="G61" s="3">
        <v>4</v>
      </c>
      <c r="H61" s="3">
        <v>4</v>
      </c>
      <c r="I61" s="3">
        <v>4</v>
      </c>
      <c r="J61" s="3">
        <v>4</v>
      </c>
      <c r="K61" s="3">
        <v>3</v>
      </c>
      <c r="L61" s="5">
        <v>3</v>
      </c>
      <c r="M61" s="6">
        <f t="shared" si="1"/>
        <v>3.6</v>
      </c>
    </row>
    <row r="62" spans="2:13" x14ac:dyDescent="0.2">
      <c r="B62" s="4" t="s">
        <v>2</v>
      </c>
      <c r="C62" s="3">
        <v>4</v>
      </c>
      <c r="D62" s="3">
        <v>5</v>
      </c>
      <c r="E62" s="3">
        <v>1</v>
      </c>
      <c r="F62" s="3">
        <v>3</v>
      </c>
      <c r="G62" s="3">
        <v>2</v>
      </c>
      <c r="H62" s="3">
        <v>4</v>
      </c>
      <c r="I62" s="3">
        <v>4</v>
      </c>
      <c r="J62" s="3">
        <v>2</v>
      </c>
      <c r="K62" s="3">
        <v>5</v>
      </c>
      <c r="L62" s="3">
        <v>2</v>
      </c>
      <c r="M62" s="6">
        <f t="shared" si="1"/>
        <v>3.2</v>
      </c>
    </row>
    <row r="63" spans="2:13" x14ac:dyDescent="0.2">
      <c r="B63" s="4" t="s">
        <v>3</v>
      </c>
      <c r="C63" s="3">
        <v>3</v>
      </c>
      <c r="D63" s="3">
        <v>5</v>
      </c>
      <c r="E63" s="3">
        <v>1</v>
      </c>
      <c r="F63" s="3">
        <v>2</v>
      </c>
      <c r="G63" s="3">
        <v>4</v>
      </c>
      <c r="H63" s="3">
        <v>4</v>
      </c>
      <c r="I63" s="3">
        <v>3</v>
      </c>
      <c r="J63" s="3">
        <v>2</v>
      </c>
      <c r="K63" s="3">
        <v>4</v>
      </c>
      <c r="L63" s="3">
        <v>3</v>
      </c>
      <c r="M63" s="6">
        <f t="shared" si="1"/>
        <v>3.1</v>
      </c>
    </row>
    <row r="64" spans="2:13" x14ac:dyDescent="0.2">
      <c r="B64" s="4" t="s">
        <v>4</v>
      </c>
      <c r="C64" s="3">
        <v>3</v>
      </c>
      <c r="D64" s="3">
        <v>1</v>
      </c>
      <c r="E64" s="3">
        <v>2</v>
      </c>
      <c r="F64" s="3">
        <v>2</v>
      </c>
      <c r="G64" s="3">
        <v>2</v>
      </c>
      <c r="H64" s="3">
        <v>4</v>
      </c>
      <c r="I64" s="3">
        <v>2</v>
      </c>
      <c r="J64" s="3">
        <v>3</v>
      </c>
      <c r="K64" s="3">
        <v>3</v>
      </c>
      <c r="L64" s="3">
        <v>3</v>
      </c>
      <c r="M64" s="6">
        <f t="shared" si="1"/>
        <v>2.5</v>
      </c>
    </row>
    <row r="65" spans="2:13" x14ac:dyDescent="0.2">
      <c r="B65" s="4" t="s">
        <v>5</v>
      </c>
      <c r="C65" s="3">
        <v>1</v>
      </c>
      <c r="D65" s="3">
        <v>1</v>
      </c>
      <c r="E65" s="3">
        <v>3</v>
      </c>
      <c r="F65" s="3">
        <v>1</v>
      </c>
      <c r="G65" s="3">
        <v>1</v>
      </c>
      <c r="H65" s="3">
        <v>2</v>
      </c>
      <c r="I65" s="3">
        <v>1</v>
      </c>
      <c r="J65" s="3">
        <v>1</v>
      </c>
      <c r="K65" s="3">
        <v>1</v>
      </c>
      <c r="L65" s="3">
        <v>2</v>
      </c>
      <c r="M65" s="6">
        <f t="shared" si="1"/>
        <v>1.4</v>
      </c>
    </row>
    <row r="66" spans="2:13" x14ac:dyDescent="0.2">
      <c r="B66" s="4" t="s">
        <v>6</v>
      </c>
      <c r="C66" s="3">
        <v>3</v>
      </c>
      <c r="D66" s="3">
        <v>1</v>
      </c>
      <c r="E66" s="3">
        <v>2</v>
      </c>
      <c r="F66" s="3">
        <v>2</v>
      </c>
      <c r="G66" s="3">
        <v>2</v>
      </c>
      <c r="H66" s="3">
        <v>4</v>
      </c>
      <c r="I66" s="3">
        <v>2</v>
      </c>
      <c r="J66" s="3">
        <v>4</v>
      </c>
      <c r="K66" s="3">
        <v>1</v>
      </c>
      <c r="L66" s="3">
        <v>2</v>
      </c>
      <c r="M66" s="6">
        <f t="shared" si="1"/>
        <v>2.2999999999999998</v>
      </c>
    </row>
    <row r="67" spans="2:13" x14ac:dyDescent="0.2">
      <c r="B67" s="4" t="s">
        <v>7</v>
      </c>
      <c r="C67" s="3">
        <v>3</v>
      </c>
      <c r="D67" s="3">
        <v>1</v>
      </c>
      <c r="E67" s="3">
        <v>1</v>
      </c>
      <c r="F67" s="3">
        <v>4</v>
      </c>
      <c r="G67" s="3">
        <v>2</v>
      </c>
      <c r="H67" s="3">
        <v>5</v>
      </c>
      <c r="I67" s="3">
        <v>3</v>
      </c>
      <c r="J67" s="3">
        <v>3</v>
      </c>
      <c r="K67" s="3">
        <v>1</v>
      </c>
      <c r="L67" s="3">
        <v>3</v>
      </c>
      <c r="M67" s="6">
        <f t="shared" si="1"/>
        <v>2.6</v>
      </c>
    </row>
    <row r="68" spans="2:13" x14ac:dyDescent="0.2">
      <c r="B68" s="4" t="s">
        <v>8</v>
      </c>
      <c r="C68" s="3">
        <v>3</v>
      </c>
      <c r="D68" s="3">
        <v>4</v>
      </c>
      <c r="E68" s="3">
        <v>1</v>
      </c>
      <c r="F68" s="3">
        <v>3</v>
      </c>
      <c r="G68" s="3">
        <v>3</v>
      </c>
      <c r="H68" s="3">
        <v>5</v>
      </c>
      <c r="I68" s="3">
        <v>3</v>
      </c>
      <c r="J68" s="3">
        <v>3</v>
      </c>
      <c r="K68" s="3">
        <v>4</v>
      </c>
      <c r="L68" s="3">
        <v>1</v>
      </c>
      <c r="M68" s="6">
        <f t="shared" si="1"/>
        <v>3</v>
      </c>
    </row>
    <row r="69" spans="2:13" x14ac:dyDescent="0.2">
      <c r="B69" s="4" t="s">
        <v>9</v>
      </c>
      <c r="C69" s="3">
        <v>3</v>
      </c>
      <c r="D69" s="3">
        <v>3</v>
      </c>
      <c r="E69" s="3">
        <v>1</v>
      </c>
      <c r="F69" s="3">
        <v>1</v>
      </c>
      <c r="G69" s="3">
        <v>4</v>
      </c>
      <c r="H69" s="3">
        <v>4</v>
      </c>
      <c r="I69" s="3">
        <v>3</v>
      </c>
      <c r="J69" s="3">
        <v>4</v>
      </c>
      <c r="K69" s="3">
        <v>3</v>
      </c>
      <c r="L69" s="3">
        <v>3</v>
      </c>
      <c r="M69" s="6">
        <f t="shared" si="1"/>
        <v>2.9</v>
      </c>
    </row>
  </sheetData>
  <mergeCells count="10">
    <mergeCell ref="B44:L44"/>
    <mergeCell ref="C45:L45"/>
    <mergeCell ref="B58:L58"/>
    <mergeCell ref="C59:L59"/>
    <mergeCell ref="B2:L2"/>
    <mergeCell ref="B16:L16"/>
    <mergeCell ref="C3:L3"/>
    <mergeCell ref="C17:L17"/>
    <mergeCell ref="B30:L30"/>
    <mergeCell ref="C31:L3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8CD44-23E9-2A45-B6DE-E116892CF1EF}">
  <dimension ref="B2:P69"/>
  <sheetViews>
    <sheetView topLeftCell="P58" workbookViewId="0">
      <selection activeCell="O61" sqref="O61:O69"/>
    </sheetView>
  </sheetViews>
  <sheetFormatPr baseColWidth="10" defaultRowHeight="16" x14ac:dyDescent="0.2"/>
  <sheetData>
    <row r="2" spans="2:16" ht="24" x14ac:dyDescent="0.25">
      <c r="B2" s="9" t="s">
        <v>19</v>
      </c>
      <c r="C2" s="9"/>
      <c r="D2" s="9"/>
      <c r="E2" s="9"/>
      <c r="F2" s="9"/>
      <c r="G2" s="9"/>
      <c r="H2" s="9"/>
      <c r="I2" s="9"/>
      <c r="J2" s="9" t="s">
        <v>19</v>
      </c>
      <c r="K2" s="9"/>
      <c r="L2" s="9"/>
      <c r="M2" s="9"/>
      <c r="N2" s="9"/>
      <c r="O2" s="9"/>
      <c r="P2" s="2"/>
    </row>
    <row r="3" spans="2:16" x14ac:dyDescent="0.2">
      <c r="C3" s="8" t="s">
        <v>20</v>
      </c>
      <c r="D3" s="8"/>
      <c r="E3" s="8"/>
      <c r="F3" s="8"/>
      <c r="G3" s="8"/>
      <c r="K3" s="8"/>
      <c r="L3" s="8"/>
      <c r="M3" s="8"/>
      <c r="N3" s="8"/>
      <c r="O3" s="8"/>
      <c r="P3" s="2"/>
    </row>
    <row r="4" spans="2:16" x14ac:dyDescent="0.2">
      <c r="B4" s="4" t="s">
        <v>0</v>
      </c>
      <c r="C4" s="3" t="s">
        <v>10</v>
      </c>
      <c r="D4" s="3" t="s">
        <v>11</v>
      </c>
      <c r="E4" s="3" t="s">
        <v>12</v>
      </c>
      <c r="F4" s="3" t="s">
        <v>17</v>
      </c>
      <c r="G4" s="3" t="s">
        <v>18</v>
      </c>
      <c r="H4" s="3" t="s">
        <v>26</v>
      </c>
      <c r="I4" s="2"/>
      <c r="J4" s="4" t="s">
        <v>0</v>
      </c>
      <c r="K4" s="3" t="s">
        <v>14</v>
      </c>
      <c r="L4" s="3" t="s">
        <v>15</v>
      </c>
      <c r="M4" s="3" t="s">
        <v>16</v>
      </c>
      <c r="N4" s="3" t="s">
        <v>13</v>
      </c>
      <c r="O4" s="3" t="s">
        <v>25</v>
      </c>
      <c r="P4" s="3" t="s">
        <v>26</v>
      </c>
    </row>
    <row r="5" spans="2:16" x14ac:dyDescent="0.2">
      <c r="B5" s="4" t="s">
        <v>1</v>
      </c>
      <c r="C5" s="3">
        <v>3</v>
      </c>
      <c r="D5" s="3">
        <v>3</v>
      </c>
      <c r="E5" s="3">
        <v>5</v>
      </c>
      <c r="F5" s="3">
        <v>4</v>
      </c>
      <c r="G5" s="3">
        <v>4</v>
      </c>
      <c r="H5" s="3">
        <f>AVERAGE(C5:G5)</f>
        <v>3.8</v>
      </c>
      <c r="I5" s="2"/>
      <c r="J5" s="4" t="s">
        <v>1</v>
      </c>
      <c r="K5" s="3">
        <v>3</v>
      </c>
      <c r="L5" s="3">
        <v>4</v>
      </c>
      <c r="M5" s="3">
        <v>4</v>
      </c>
      <c r="N5" s="3">
        <v>4</v>
      </c>
      <c r="O5" s="3">
        <v>3</v>
      </c>
      <c r="P5" s="3">
        <f>AVERAGE(K5:O5)</f>
        <v>3.6</v>
      </c>
    </row>
    <row r="6" spans="2:16" x14ac:dyDescent="0.2">
      <c r="B6" s="4" t="s">
        <v>2</v>
      </c>
      <c r="C6" s="3">
        <v>3</v>
      </c>
      <c r="D6" s="3">
        <v>2</v>
      </c>
      <c r="E6" s="3">
        <v>2</v>
      </c>
      <c r="F6" s="3">
        <v>2</v>
      </c>
      <c r="G6" s="3">
        <v>3</v>
      </c>
      <c r="H6" s="3">
        <f t="shared" ref="H6:H13" si="0">AVERAGE(C6:G6)</f>
        <v>2.4</v>
      </c>
      <c r="I6" s="2"/>
      <c r="J6" s="4" t="s">
        <v>2</v>
      </c>
      <c r="K6" s="3">
        <v>2</v>
      </c>
      <c r="L6" s="3">
        <v>3</v>
      </c>
      <c r="M6" s="3">
        <v>3</v>
      </c>
      <c r="N6" s="3">
        <v>3</v>
      </c>
      <c r="O6" s="3">
        <v>3</v>
      </c>
      <c r="P6" s="3">
        <f t="shared" ref="P6:P13" si="1">AVERAGE(K6:O6)</f>
        <v>2.8</v>
      </c>
    </row>
    <row r="7" spans="2:16" x14ac:dyDescent="0.2">
      <c r="B7" s="4" t="s">
        <v>3</v>
      </c>
      <c r="C7" s="3">
        <v>2</v>
      </c>
      <c r="D7" s="3">
        <v>5</v>
      </c>
      <c r="E7" s="3">
        <v>1</v>
      </c>
      <c r="F7" s="3">
        <v>3</v>
      </c>
      <c r="G7" s="3">
        <v>2</v>
      </c>
      <c r="H7" s="3">
        <f t="shared" si="0"/>
        <v>2.6</v>
      </c>
      <c r="I7" s="2"/>
      <c r="J7" s="4" t="s">
        <v>3</v>
      </c>
      <c r="K7" s="3">
        <v>4</v>
      </c>
      <c r="L7" s="3">
        <v>2</v>
      </c>
      <c r="M7" s="3">
        <v>2</v>
      </c>
      <c r="N7" s="3">
        <v>2</v>
      </c>
      <c r="O7" s="3">
        <v>2</v>
      </c>
      <c r="P7" s="3">
        <f t="shared" si="1"/>
        <v>2.4</v>
      </c>
    </row>
    <row r="8" spans="2:16" x14ac:dyDescent="0.2">
      <c r="B8" s="4" t="s">
        <v>4</v>
      </c>
      <c r="C8" s="3">
        <v>2</v>
      </c>
      <c r="D8" s="3">
        <v>2</v>
      </c>
      <c r="E8" s="3">
        <v>1</v>
      </c>
      <c r="F8" s="3">
        <v>1</v>
      </c>
      <c r="G8" s="3">
        <v>2</v>
      </c>
      <c r="H8" s="3">
        <f t="shared" si="0"/>
        <v>1.6</v>
      </c>
      <c r="I8" s="2"/>
      <c r="J8" s="4" t="s">
        <v>4</v>
      </c>
      <c r="K8" s="3">
        <v>3</v>
      </c>
      <c r="L8" s="3">
        <v>3</v>
      </c>
      <c r="M8" s="3">
        <v>3</v>
      </c>
      <c r="N8" s="3">
        <v>1</v>
      </c>
      <c r="O8" s="3">
        <v>3</v>
      </c>
      <c r="P8" s="3">
        <f t="shared" si="1"/>
        <v>2.6</v>
      </c>
    </row>
    <row r="9" spans="2:16" x14ac:dyDescent="0.2">
      <c r="B9" s="4" t="s">
        <v>5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>
        <f t="shared" si="0"/>
        <v>1</v>
      </c>
      <c r="I9" s="2"/>
      <c r="J9" s="4" t="s">
        <v>5</v>
      </c>
      <c r="K9" s="3">
        <v>1</v>
      </c>
      <c r="L9" s="3">
        <v>1</v>
      </c>
      <c r="M9" s="3">
        <v>1</v>
      </c>
      <c r="N9" s="3">
        <v>2</v>
      </c>
      <c r="O9" s="3">
        <v>1</v>
      </c>
      <c r="P9" s="3">
        <f t="shared" si="1"/>
        <v>1.2</v>
      </c>
    </row>
    <row r="10" spans="2:16" x14ac:dyDescent="0.2">
      <c r="B10" s="4" t="s">
        <v>6</v>
      </c>
      <c r="C10" s="3">
        <v>3</v>
      </c>
      <c r="D10" s="3">
        <v>2</v>
      </c>
      <c r="E10" s="3">
        <v>1</v>
      </c>
      <c r="F10" s="3">
        <v>2</v>
      </c>
      <c r="G10" s="3">
        <v>2</v>
      </c>
      <c r="H10" s="3">
        <f t="shared" si="0"/>
        <v>2</v>
      </c>
      <c r="I10" s="2"/>
      <c r="J10" s="4" t="s">
        <v>6</v>
      </c>
      <c r="K10" s="3">
        <v>3</v>
      </c>
      <c r="L10" s="3">
        <v>3</v>
      </c>
      <c r="M10" s="3">
        <v>2</v>
      </c>
      <c r="N10" s="3">
        <v>2</v>
      </c>
      <c r="O10" s="3">
        <v>1</v>
      </c>
      <c r="P10" s="3">
        <f t="shared" si="1"/>
        <v>2.2000000000000002</v>
      </c>
    </row>
    <row r="11" spans="2:16" x14ac:dyDescent="0.2">
      <c r="B11" s="4" t="s">
        <v>7</v>
      </c>
      <c r="C11" s="3">
        <v>2</v>
      </c>
      <c r="D11" s="3">
        <v>1</v>
      </c>
      <c r="E11" s="3">
        <v>1</v>
      </c>
      <c r="F11" s="3">
        <v>2</v>
      </c>
      <c r="G11" s="3">
        <v>3</v>
      </c>
      <c r="H11" s="3">
        <f t="shared" si="0"/>
        <v>1.8</v>
      </c>
      <c r="I11" s="2"/>
      <c r="J11" s="4" t="s">
        <v>7</v>
      </c>
      <c r="K11" s="3">
        <v>4</v>
      </c>
      <c r="L11" s="3">
        <v>4</v>
      </c>
      <c r="M11" s="3">
        <v>3</v>
      </c>
      <c r="N11" s="3">
        <v>4</v>
      </c>
      <c r="O11" s="3">
        <v>4</v>
      </c>
      <c r="P11" s="3">
        <f t="shared" si="1"/>
        <v>3.8</v>
      </c>
    </row>
    <row r="12" spans="2:16" x14ac:dyDescent="0.2">
      <c r="B12" s="4" t="s">
        <v>8</v>
      </c>
      <c r="C12" s="3">
        <v>3</v>
      </c>
      <c r="D12" s="3">
        <v>1</v>
      </c>
      <c r="E12" s="3">
        <v>1</v>
      </c>
      <c r="F12" s="3">
        <v>4</v>
      </c>
      <c r="G12" s="3">
        <v>3</v>
      </c>
      <c r="H12" s="3">
        <f t="shared" si="0"/>
        <v>2.4</v>
      </c>
      <c r="I12" s="2"/>
      <c r="J12" s="4" t="s">
        <v>8</v>
      </c>
      <c r="K12" s="3">
        <v>2</v>
      </c>
      <c r="L12" s="3">
        <v>1</v>
      </c>
      <c r="M12" s="3">
        <v>3</v>
      </c>
      <c r="N12" s="3">
        <v>2</v>
      </c>
      <c r="O12" s="3">
        <v>2</v>
      </c>
      <c r="P12" s="3">
        <f t="shared" si="1"/>
        <v>2</v>
      </c>
    </row>
    <row r="13" spans="2:16" x14ac:dyDescent="0.2">
      <c r="B13" s="4" t="s">
        <v>9</v>
      </c>
      <c r="C13" s="3">
        <v>3</v>
      </c>
      <c r="D13" s="3">
        <v>3</v>
      </c>
      <c r="E13" s="3">
        <v>1</v>
      </c>
      <c r="F13" s="3">
        <v>1</v>
      </c>
      <c r="G13" s="3">
        <v>2</v>
      </c>
      <c r="H13" s="3">
        <f t="shared" si="0"/>
        <v>2</v>
      </c>
      <c r="I13" s="2"/>
      <c r="J13" s="4" t="s">
        <v>9</v>
      </c>
      <c r="K13" s="3">
        <v>2</v>
      </c>
      <c r="L13" s="3">
        <v>2</v>
      </c>
      <c r="M13" s="3">
        <v>2</v>
      </c>
      <c r="N13" s="3">
        <v>1</v>
      </c>
      <c r="O13" s="3">
        <v>1</v>
      </c>
      <c r="P13" s="3">
        <f t="shared" si="1"/>
        <v>1.6</v>
      </c>
    </row>
    <row r="14" spans="2:16" x14ac:dyDescent="0.2">
      <c r="P14" s="2"/>
    </row>
    <row r="15" spans="2:16" x14ac:dyDescent="0.2">
      <c r="P15" s="2"/>
    </row>
    <row r="16" spans="2:16" ht="24" x14ac:dyDescent="0.25">
      <c r="B16" s="9" t="s">
        <v>21</v>
      </c>
      <c r="C16" s="9"/>
      <c r="D16" s="9"/>
      <c r="E16" s="9"/>
      <c r="F16" s="9"/>
      <c r="G16" s="9"/>
      <c r="H16" s="9"/>
      <c r="I16" s="9"/>
      <c r="J16" s="9" t="s">
        <v>21</v>
      </c>
      <c r="K16" s="9"/>
      <c r="L16" s="9"/>
      <c r="M16" s="9"/>
      <c r="N16" s="9"/>
      <c r="O16" s="9"/>
      <c r="P16" s="2"/>
    </row>
    <row r="17" spans="2:16" x14ac:dyDescent="0.2">
      <c r="C17" s="8" t="s">
        <v>20</v>
      </c>
      <c r="D17" s="8"/>
      <c r="E17" s="8"/>
      <c r="F17" s="8"/>
      <c r="G17" s="8"/>
      <c r="K17" s="8"/>
      <c r="L17" s="8"/>
      <c r="M17" s="8"/>
      <c r="N17" s="8"/>
      <c r="O17" s="8"/>
      <c r="P17" s="2"/>
    </row>
    <row r="18" spans="2:16" x14ac:dyDescent="0.2">
      <c r="B18" s="4" t="s">
        <v>0</v>
      </c>
      <c r="C18" s="3" t="s">
        <v>10</v>
      </c>
      <c r="D18" s="3" t="s">
        <v>11</v>
      </c>
      <c r="E18" s="3" t="s">
        <v>12</v>
      </c>
      <c r="F18" s="3" t="s">
        <v>17</v>
      </c>
      <c r="G18" s="3" t="s">
        <v>18</v>
      </c>
      <c r="H18" s="3" t="s">
        <v>26</v>
      </c>
      <c r="I18" s="2"/>
      <c r="J18" s="4" t="s">
        <v>0</v>
      </c>
      <c r="K18" s="3" t="s">
        <v>14</v>
      </c>
      <c r="L18" s="3" t="s">
        <v>15</v>
      </c>
      <c r="M18" s="3" t="s">
        <v>16</v>
      </c>
      <c r="N18" s="3" t="s">
        <v>13</v>
      </c>
      <c r="O18" s="3" t="s">
        <v>25</v>
      </c>
      <c r="P18" s="3" t="s">
        <v>26</v>
      </c>
    </row>
    <row r="19" spans="2:16" x14ac:dyDescent="0.2">
      <c r="B19" s="4" t="s">
        <v>1</v>
      </c>
      <c r="C19" s="3">
        <v>4</v>
      </c>
      <c r="D19" s="3">
        <v>4</v>
      </c>
      <c r="E19" s="3">
        <v>4</v>
      </c>
      <c r="F19" s="3">
        <v>3</v>
      </c>
      <c r="G19" s="3">
        <v>3</v>
      </c>
      <c r="H19" s="3">
        <f>AVERAGE(C19:G19)</f>
        <v>3.6</v>
      </c>
      <c r="I19" s="2"/>
      <c r="J19" s="4" t="s">
        <v>1</v>
      </c>
      <c r="K19" s="3">
        <v>3</v>
      </c>
      <c r="L19" s="3">
        <v>3</v>
      </c>
      <c r="M19" s="3">
        <v>4</v>
      </c>
      <c r="N19" s="3">
        <v>2</v>
      </c>
      <c r="O19" s="3">
        <v>4</v>
      </c>
      <c r="P19" s="6">
        <f>AVERAGE(K19:O19)</f>
        <v>3.2</v>
      </c>
    </row>
    <row r="20" spans="2:16" x14ac:dyDescent="0.2">
      <c r="B20" s="4" t="s">
        <v>2</v>
      </c>
      <c r="C20" s="3">
        <v>4</v>
      </c>
      <c r="D20" s="3">
        <v>3</v>
      </c>
      <c r="E20" s="3">
        <v>3</v>
      </c>
      <c r="F20" s="3">
        <v>4</v>
      </c>
      <c r="G20" s="3">
        <v>4</v>
      </c>
      <c r="H20" s="3">
        <f t="shared" ref="H20:H27" si="2">AVERAGE(C20:G20)</f>
        <v>3.6</v>
      </c>
      <c r="I20" s="2"/>
      <c r="J20" s="4" t="s">
        <v>2</v>
      </c>
      <c r="K20" s="3">
        <v>3</v>
      </c>
      <c r="L20" s="3">
        <v>3</v>
      </c>
      <c r="M20" s="3">
        <v>4</v>
      </c>
      <c r="N20" s="3">
        <v>1</v>
      </c>
      <c r="O20" s="3">
        <v>4</v>
      </c>
      <c r="P20" s="6">
        <f t="shared" ref="P20:P27" si="3">AVERAGE(K20:O20)</f>
        <v>3</v>
      </c>
    </row>
    <row r="21" spans="2:16" x14ac:dyDescent="0.2">
      <c r="B21" s="4" t="s">
        <v>3</v>
      </c>
      <c r="C21" s="3">
        <v>1</v>
      </c>
      <c r="D21" s="3">
        <v>2</v>
      </c>
      <c r="E21" s="3">
        <v>2</v>
      </c>
      <c r="F21" s="3">
        <v>2</v>
      </c>
      <c r="G21" s="3">
        <v>1</v>
      </c>
      <c r="H21" s="3">
        <f t="shared" si="2"/>
        <v>1.6</v>
      </c>
      <c r="I21" s="2"/>
      <c r="J21" s="4" t="s">
        <v>3</v>
      </c>
      <c r="K21" s="3">
        <v>3</v>
      </c>
      <c r="L21" s="3">
        <v>2</v>
      </c>
      <c r="M21" s="3">
        <v>3</v>
      </c>
      <c r="N21" s="3">
        <v>1</v>
      </c>
      <c r="O21" s="3">
        <v>3</v>
      </c>
      <c r="P21" s="6">
        <f t="shared" si="3"/>
        <v>2.4</v>
      </c>
    </row>
    <row r="22" spans="2:16" x14ac:dyDescent="0.2">
      <c r="B22" s="4" t="s">
        <v>4</v>
      </c>
      <c r="C22" s="3">
        <v>2</v>
      </c>
      <c r="D22" s="3">
        <v>5</v>
      </c>
      <c r="E22" s="3">
        <v>1</v>
      </c>
      <c r="F22" s="3">
        <v>2</v>
      </c>
      <c r="G22" s="3">
        <v>2</v>
      </c>
      <c r="H22" s="3">
        <f t="shared" si="2"/>
        <v>2.4</v>
      </c>
      <c r="I22" s="2"/>
      <c r="J22" s="4" t="s">
        <v>4</v>
      </c>
      <c r="K22" s="3">
        <v>4</v>
      </c>
      <c r="L22" s="3">
        <v>4</v>
      </c>
      <c r="M22" s="3">
        <v>2</v>
      </c>
      <c r="N22" s="3">
        <v>1</v>
      </c>
      <c r="O22" s="3">
        <v>4</v>
      </c>
      <c r="P22" s="6">
        <f t="shared" si="3"/>
        <v>3</v>
      </c>
    </row>
    <row r="23" spans="2:16" x14ac:dyDescent="0.2">
      <c r="B23" s="4" t="s">
        <v>5</v>
      </c>
      <c r="C23" s="3">
        <v>1</v>
      </c>
      <c r="D23" s="3">
        <v>1</v>
      </c>
      <c r="E23" s="3">
        <v>1</v>
      </c>
      <c r="F23" s="3">
        <v>1</v>
      </c>
      <c r="G23" s="3">
        <v>2</v>
      </c>
      <c r="H23" s="3">
        <f t="shared" si="2"/>
        <v>1.2</v>
      </c>
      <c r="I23" s="2"/>
      <c r="J23" s="4" t="s">
        <v>5</v>
      </c>
      <c r="K23" s="3">
        <v>1</v>
      </c>
      <c r="L23" s="3">
        <v>1</v>
      </c>
      <c r="M23" s="3">
        <v>1</v>
      </c>
      <c r="N23" s="3">
        <v>2</v>
      </c>
      <c r="O23" s="3">
        <v>1</v>
      </c>
      <c r="P23" s="6">
        <f t="shared" si="3"/>
        <v>1.2</v>
      </c>
    </row>
    <row r="24" spans="2:16" x14ac:dyDescent="0.2">
      <c r="B24" s="4" t="s">
        <v>6</v>
      </c>
      <c r="C24" s="3">
        <v>3</v>
      </c>
      <c r="D24" s="3">
        <v>2</v>
      </c>
      <c r="E24" s="3">
        <v>1</v>
      </c>
      <c r="F24" s="3">
        <v>1</v>
      </c>
      <c r="G24" s="3">
        <v>2</v>
      </c>
      <c r="H24" s="3">
        <f t="shared" si="2"/>
        <v>1.8</v>
      </c>
      <c r="I24" s="2"/>
      <c r="J24" s="4" t="s">
        <v>6</v>
      </c>
      <c r="K24" s="3">
        <v>3</v>
      </c>
      <c r="L24" s="3">
        <v>2</v>
      </c>
      <c r="M24" s="3">
        <v>4</v>
      </c>
      <c r="N24" s="3">
        <v>1</v>
      </c>
      <c r="O24" s="3">
        <v>1</v>
      </c>
      <c r="P24" s="6">
        <f t="shared" si="3"/>
        <v>2.2000000000000002</v>
      </c>
    </row>
    <row r="25" spans="2:16" x14ac:dyDescent="0.2">
      <c r="B25" s="4" t="s">
        <v>7</v>
      </c>
      <c r="C25" s="3">
        <v>2</v>
      </c>
      <c r="D25" s="3">
        <v>1</v>
      </c>
      <c r="E25" s="3">
        <v>1</v>
      </c>
      <c r="F25" s="3">
        <v>1</v>
      </c>
      <c r="G25" s="3">
        <v>2</v>
      </c>
      <c r="H25" s="3">
        <f t="shared" si="2"/>
        <v>1.4</v>
      </c>
      <c r="I25" s="2"/>
      <c r="J25" s="4" t="s">
        <v>7</v>
      </c>
      <c r="K25" s="3">
        <v>3</v>
      </c>
      <c r="L25" s="3">
        <v>4</v>
      </c>
      <c r="M25" s="3">
        <v>1</v>
      </c>
      <c r="N25" s="3">
        <v>3</v>
      </c>
      <c r="O25" s="3">
        <v>3</v>
      </c>
      <c r="P25" s="6">
        <f t="shared" si="3"/>
        <v>2.8</v>
      </c>
    </row>
    <row r="26" spans="2:16" x14ac:dyDescent="0.2">
      <c r="B26" s="4" t="s">
        <v>8</v>
      </c>
      <c r="C26" s="3">
        <v>2</v>
      </c>
      <c r="D26" s="3">
        <v>3</v>
      </c>
      <c r="E26" s="3">
        <v>1</v>
      </c>
      <c r="F26" s="3">
        <v>3</v>
      </c>
      <c r="G26" s="3">
        <v>2</v>
      </c>
      <c r="H26" s="3">
        <f t="shared" si="2"/>
        <v>2.2000000000000002</v>
      </c>
      <c r="I26" s="2"/>
      <c r="J26" s="4" t="s">
        <v>8</v>
      </c>
      <c r="K26" s="3">
        <v>3</v>
      </c>
      <c r="L26" s="3">
        <v>2</v>
      </c>
      <c r="M26" s="3">
        <v>4</v>
      </c>
      <c r="N26" s="3">
        <v>1</v>
      </c>
      <c r="O26" s="3">
        <v>3</v>
      </c>
      <c r="P26" s="6">
        <f t="shared" si="3"/>
        <v>2.6</v>
      </c>
    </row>
    <row r="27" spans="2:16" x14ac:dyDescent="0.2">
      <c r="B27" s="4" t="s">
        <v>9</v>
      </c>
      <c r="C27" s="3">
        <v>3</v>
      </c>
      <c r="D27" s="3">
        <v>4</v>
      </c>
      <c r="E27" s="3">
        <v>1</v>
      </c>
      <c r="F27" s="3">
        <v>2</v>
      </c>
      <c r="G27" s="3">
        <v>1</v>
      </c>
      <c r="H27" s="3">
        <f t="shared" si="2"/>
        <v>2.2000000000000002</v>
      </c>
      <c r="I27" s="2"/>
      <c r="J27" s="4" t="s">
        <v>9</v>
      </c>
      <c r="K27" s="3">
        <v>2</v>
      </c>
      <c r="L27" s="3">
        <v>3</v>
      </c>
      <c r="M27" s="3">
        <v>2</v>
      </c>
      <c r="N27" s="3">
        <v>2</v>
      </c>
      <c r="O27" s="3">
        <v>1</v>
      </c>
      <c r="P27" s="6">
        <f t="shared" si="3"/>
        <v>2</v>
      </c>
    </row>
    <row r="28" spans="2:16" x14ac:dyDescent="0.2">
      <c r="P28" s="7"/>
    </row>
    <row r="29" spans="2:16" x14ac:dyDescent="0.2">
      <c r="P29" s="7"/>
    </row>
    <row r="30" spans="2:16" ht="24" x14ac:dyDescent="0.25">
      <c r="B30" s="9" t="s">
        <v>22</v>
      </c>
      <c r="C30" s="9"/>
      <c r="D30" s="9"/>
      <c r="E30" s="9"/>
      <c r="F30" s="9"/>
      <c r="G30" s="9"/>
      <c r="H30" s="9"/>
      <c r="I30" s="9"/>
      <c r="J30" s="9" t="s">
        <v>22</v>
      </c>
      <c r="K30" s="9"/>
      <c r="L30" s="9"/>
      <c r="M30" s="9"/>
      <c r="N30" s="9"/>
      <c r="O30" s="9"/>
      <c r="P30" s="7"/>
    </row>
    <row r="31" spans="2:16" x14ac:dyDescent="0.2">
      <c r="C31" s="8" t="s">
        <v>20</v>
      </c>
      <c r="D31" s="8"/>
      <c r="E31" s="8"/>
      <c r="F31" s="8"/>
      <c r="G31" s="8"/>
      <c r="K31" s="8"/>
      <c r="L31" s="8"/>
      <c r="M31" s="8"/>
      <c r="N31" s="8"/>
      <c r="O31" s="8"/>
      <c r="P31" s="7"/>
    </row>
    <row r="32" spans="2:16" x14ac:dyDescent="0.2">
      <c r="B32" s="4" t="s">
        <v>0</v>
      </c>
      <c r="C32" s="3" t="s">
        <v>10</v>
      </c>
      <c r="D32" s="3" t="s">
        <v>11</v>
      </c>
      <c r="E32" s="3" t="s">
        <v>12</v>
      </c>
      <c r="F32" s="3" t="s">
        <v>17</v>
      </c>
      <c r="G32" s="5" t="s">
        <v>18</v>
      </c>
      <c r="H32" s="3" t="s">
        <v>26</v>
      </c>
      <c r="I32" s="2"/>
      <c r="J32" s="4" t="s">
        <v>0</v>
      </c>
      <c r="K32" s="3" t="s">
        <v>14</v>
      </c>
      <c r="L32" s="3" t="s">
        <v>15</v>
      </c>
      <c r="M32" s="3" t="s">
        <v>16</v>
      </c>
      <c r="N32" s="3" t="s">
        <v>13</v>
      </c>
      <c r="O32" s="3" t="s">
        <v>25</v>
      </c>
      <c r="P32" s="6" t="s">
        <v>26</v>
      </c>
    </row>
    <row r="33" spans="2:16" x14ac:dyDescent="0.2">
      <c r="B33" s="4" t="s">
        <v>1</v>
      </c>
      <c r="C33" s="3">
        <v>3</v>
      </c>
      <c r="D33" s="3">
        <v>3</v>
      </c>
      <c r="E33" s="3">
        <v>2</v>
      </c>
      <c r="F33" s="3">
        <v>3</v>
      </c>
      <c r="G33" s="5">
        <v>4</v>
      </c>
      <c r="H33" s="3">
        <f>AVERAGE(C33:G33)</f>
        <v>3</v>
      </c>
      <c r="I33" s="2"/>
      <c r="J33" s="4" t="s">
        <v>1</v>
      </c>
      <c r="K33" s="3">
        <v>4</v>
      </c>
      <c r="L33" s="3">
        <v>3</v>
      </c>
      <c r="M33" s="3">
        <v>3</v>
      </c>
      <c r="N33" s="3">
        <v>3</v>
      </c>
      <c r="O33" s="3">
        <v>3</v>
      </c>
      <c r="P33" s="6">
        <f t="shared" ref="P33:P40" si="4">AVERAGE(C33:O33)</f>
        <v>3.0909090909090908</v>
      </c>
    </row>
    <row r="34" spans="2:16" x14ac:dyDescent="0.2">
      <c r="B34" s="4" t="s">
        <v>2</v>
      </c>
      <c r="C34" s="3">
        <v>3</v>
      </c>
      <c r="D34" s="3">
        <v>5</v>
      </c>
      <c r="E34" s="3">
        <v>3</v>
      </c>
      <c r="F34" s="3">
        <v>1</v>
      </c>
      <c r="G34" s="5">
        <v>2</v>
      </c>
      <c r="H34" s="3">
        <f t="shared" ref="H34:H41" si="5">AVERAGE(C34:G34)</f>
        <v>2.8</v>
      </c>
      <c r="I34" s="2"/>
      <c r="J34" s="4" t="s">
        <v>2</v>
      </c>
      <c r="K34" s="3">
        <v>3</v>
      </c>
      <c r="L34" s="3">
        <v>4</v>
      </c>
      <c r="M34" s="3">
        <v>3</v>
      </c>
      <c r="N34" s="3">
        <v>2</v>
      </c>
      <c r="O34" s="3">
        <v>3</v>
      </c>
      <c r="P34" s="6">
        <f t="shared" si="4"/>
        <v>2.8909090909090911</v>
      </c>
    </row>
    <row r="35" spans="2:16" x14ac:dyDescent="0.2">
      <c r="B35" s="4" t="s">
        <v>3</v>
      </c>
      <c r="C35" s="3">
        <v>1</v>
      </c>
      <c r="D35" s="3">
        <v>5</v>
      </c>
      <c r="E35" s="3">
        <v>2</v>
      </c>
      <c r="F35" s="3">
        <v>1</v>
      </c>
      <c r="G35" s="5">
        <v>3</v>
      </c>
      <c r="H35" s="3">
        <f t="shared" si="5"/>
        <v>2.4</v>
      </c>
      <c r="I35" s="2"/>
      <c r="J35" s="4" t="s">
        <v>3</v>
      </c>
      <c r="K35" s="3">
        <v>3</v>
      </c>
      <c r="L35" s="3">
        <v>3</v>
      </c>
      <c r="M35" s="3">
        <v>2</v>
      </c>
      <c r="N35" s="3">
        <v>1</v>
      </c>
      <c r="O35" s="3">
        <v>2</v>
      </c>
      <c r="P35" s="6">
        <f t="shared" si="4"/>
        <v>2.3090909090909091</v>
      </c>
    </row>
    <row r="36" spans="2:16" x14ac:dyDescent="0.2">
      <c r="B36" s="4" t="s">
        <v>4</v>
      </c>
      <c r="C36" s="3">
        <v>2</v>
      </c>
      <c r="D36" s="3">
        <v>1</v>
      </c>
      <c r="E36" s="3">
        <v>1</v>
      </c>
      <c r="F36" s="3">
        <v>3</v>
      </c>
      <c r="G36" s="5">
        <v>3</v>
      </c>
      <c r="H36" s="3">
        <f t="shared" si="5"/>
        <v>2</v>
      </c>
      <c r="I36" s="2"/>
      <c r="J36" s="4" t="s">
        <v>4</v>
      </c>
      <c r="K36" s="3">
        <v>4</v>
      </c>
      <c r="L36" s="3">
        <v>2</v>
      </c>
      <c r="M36" s="3">
        <v>2</v>
      </c>
      <c r="N36" s="3">
        <v>2</v>
      </c>
      <c r="O36" s="3">
        <v>2</v>
      </c>
      <c r="P36" s="6">
        <f t="shared" si="4"/>
        <v>2.1818181818181817</v>
      </c>
    </row>
    <row r="37" spans="2:16" x14ac:dyDescent="0.2">
      <c r="B37" s="4" t="s">
        <v>5</v>
      </c>
      <c r="C37" s="3">
        <v>1</v>
      </c>
      <c r="D37" s="3">
        <v>1</v>
      </c>
      <c r="E37" s="3">
        <v>1</v>
      </c>
      <c r="F37" s="3">
        <v>1</v>
      </c>
      <c r="G37" s="5">
        <v>1</v>
      </c>
      <c r="H37" s="3">
        <f t="shared" si="5"/>
        <v>1</v>
      </c>
      <c r="I37" s="2"/>
      <c r="J37" s="4" t="s">
        <v>5</v>
      </c>
      <c r="K37" s="3">
        <v>1</v>
      </c>
      <c r="L37" s="3">
        <v>2</v>
      </c>
      <c r="M37" s="3">
        <v>1</v>
      </c>
      <c r="N37" s="3">
        <v>1</v>
      </c>
      <c r="O37" s="3">
        <v>1</v>
      </c>
      <c r="P37" s="6">
        <f t="shared" si="4"/>
        <v>1.0909090909090908</v>
      </c>
    </row>
    <row r="38" spans="2:16" x14ac:dyDescent="0.2">
      <c r="B38" s="4" t="s">
        <v>6</v>
      </c>
      <c r="C38" s="3">
        <v>2</v>
      </c>
      <c r="D38" s="3">
        <v>1</v>
      </c>
      <c r="E38" s="3">
        <v>1</v>
      </c>
      <c r="F38" s="3">
        <v>3</v>
      </c>
      <c r="G38" s="5">
        <v>3</v>
      </c>
      <c r="H38" s="3">
        <f t="shared" si="5"/>
        <v>2</v>
      </c>
      <c r="I38" s="2"/>
      <c r="J38" s="4" t="s">
        <v>6</v>
      </c>
      <c r="K38" s="3">
        <v>2</v>
      </c>
      <c r="L38" s="3">
        <v>2</v>
      </c>
      <c r="M38" s="3">
        <v>2</v>
      </c>
      <c r="N38" s="3">
        <v>1</v>
      </c>
      <c r="O38" s="3">
        <v>1</v>
      </c>
      <c r="P38" s="6">
        <f t="shared" si="4"/>
        <v>1.8181818181818181</v>
      </c>
    </row>
    <row r="39" spans="2:16" x14ac:dyDescent="0.2">
      <c r="B39" s="4" t="s">
        <v>7</v>
      </c>
      <c r="C39" s="3">
        <v>2</v>
      </c>
      <c r="D39" s="3">
        <v>1</v>
      </c>
      <c r="E39" s="3">
        <v>1</v>
      </c>
      <c r="F39" s="3">
        <v>4</v>
      </c>
      <c r="G39" s="5">
        <v>2</v>
      </c>
      <c r="H39" s="3">
        <f t="shared" si="5"/>
        <v>2</v>
      </c>
      <c r="I39" s="2"/>
      <c r="J39" s="4" t="s">
        <v>7</v>
      </c>
      <c r="K39" s="3">
        <v>3</v>
      </c>
      <c r="L39" s="3">
        <v>3</v>
      </c>
      <c r="M39" s="3">
        <v>2</v>
      </c>
      <c r="N39" s="3">
        <v>3</v>
      </c>
      <c r="O39" s="3">
        <v>4</v>
      </c>
      <c r="P39" s="6">
        <f t="shared" si="4"/>
        <v>2.4545454545454546</v>
      </c>
    </row>
    <row r="40" spans="2:16" x14ac:dyDescent="0.2">
      <c r="B40" s="4" t="s">
        <v>8</v>
      </c>
      <c r="C40" s="3">
        <v>2</v>
      </c>
      <c r="D40" s="3">
        <v>3</v>
      </c>
      <c r="E40" s="3">
        <v>1</v>
      </c>
      <c r="F40" s="3">
        <v>3</v>
      </c>
      <c r="G40" s="5">
        <v>2</v>
      </c>
      <c r="H40" s="3">
        <f t="shared" si="5"/>
        <v>2.2000000000000002</v>
      </c>
      <c r="I40" s="2"/>
      <c r="J40" s="4" t="s">
        <v>8</v>
      </c>
      <c r="K40" s="3">
        <v>3</v>
      </c>
      <c r="L40" s="3">
        <v>3</v>
      </c>
      <c r="M40" s="3">
        <v>3</v>
      </c>
      <c r="N40" s="3">
        <v>2</v>
      </c>
      <c r="O40" s="3">
        <v>2</v>
      </c>
      <c r="P40" s="6">
        <f t="shared" si="4"/>
        <v>2.3818181818181818</v>
      </c>
    </row>
    <row r="41" spans="2:16" x14ac:dyDescent="0.2">
      <c r="B41" s="4" t="s">
        <v>9</v>
      </c>
      <c r="C41" s="3">
        <v>2</v>
      </c>
      <c r="D41" s="3">
        <v>3</v>
      </c>
      <c r="E41" s="3">
        <v>2</v>
      </c>
      <c r="F41" s="3">
        <v>3</v>
      </c>
      <c r="G41" s="5">
        <v>3</v>
      </c>
      <c r="H41" s="3">
        <f t="shared" si="5"/>
        <v>2.6</v>
      </c>
      <c r="I41" s="2"/>
      <c r="J41" s="4" t="s">
        <v>9</v>
      </c>
      <c r="K41" s="3">
        <v>2</v>
      </c>
      <c r="L41" s="3">
        <v>1</v>
      </c>
      <c r="M41" s="3">
        <v>3</v>
      </c>
      <c r="N41" s="3">
        <v>2</v>
      </c>
      <c r="O41" s="3">
        <v>3</v>
      </c>
      <c r="P41" s="6">
        <f>AVERAGE(C41:O41)</f>
        <v>2.4181818181818184</v>
      </c>
    </row>
    <row r="42" spans="2:16" x14ac:dyDescent="0.2">
      <c r="P42" s="7"/>
    </row>
    <row r="43" spans="2:16" x14ac:dyDescent="0.2">
      <c r="P43" s="7"/>
    </row>
    <row r="44" spans="2:16" ht="24" x14ac:dyDescent="0.25">
      <c r="B44" s="9" t="s">
        <v>23</v>
      </c>
      <c r="C44" s="9"/>
      <c r="D44" s="9"/>
      <c r="E44" s="9"/>
      <c r="F44" s="9"/>
      <c r="G44" s="9"/>
      <c r="H44" s="9"/>
      <c r="I44" s="9"/>
      <c r="J44" s="9" t="s">
        <v>23</v>
      </c>
      <c r="K44" s="9"/>
      <c r="L44" s="9"/>
      <c r="M44" s="9"/>
      <c r="N44" s="9"/>
      <c r="O44" s="9"/>
      <c r="P44" s="7"/>
    </row>
    <row r="45" spans="2:16" x14ac:dyDescent="0.2">
      <c r="C45" s="8" t="s">
        <v>20</v>
      </c>
      <c r="D45" s="8"/>
      <c r="E45" s="8"/>
      <c r="F45" s="8"/>
      <c r="G45" s="8"/>
      <c r="K45" s="8"/>
      <c r="L45" s="8"/>
      <c r="M45" s="8"/>
      <c r="N45" s="8"/>
      <c r="O45" s="8"/>
      <c r="P45" s="7"/>
    </row>
    <row r="46" spans="2:16" x14ac:dyDescent="0.2">
      <c r="B46" s="4" t="s">
        <v>0</v>
      </c>
      <c r="C46" s="3" t="s">
        <v>10</v>
      </c>
      <c r="D46" s="3" t="s">
        <v>11</v>
      </c>
      <c r="E46" s="3" t="s">
        <v>12</v>
      </c>
      <c r="F46" s="3" t="s">
        <v>17</v>
      </c>
      <c r="G46" s="5" t="s">
        <v>18</v>
      </c>
      <c r="H46" s="3" t="s">
        <v>26</v>
      </c>
      <c r="I46" s="2"/>
      <c r="J46" s="4" t="s">
        <v>0</v>
      </c>
      <c r="K46" s="3" t="s">
        <v>14</v>
      </c>
      <c r="L46" s="3" t="s">
        <v>15</v>
      </c>
      <c r="M46" s="3" t="s">
        <v>16</v>
      </c>
      <c r="N46" s="3" t="s">
        <v>13</v>
      </c>
      <c r="O46" s="3" t="s">
        <v>25</v>
      </c>
      <c r="P46" s="6" t="s">
        <v>26</v>
      </c>
    </row>
    <row r="47" spans="2:16" x14ac:dyDescent="0.2">
      <c r="B47" s="4" t="s">
        <v>1</v>
      </c>
      <c r="C47" s="3">
        <v>4</v>
      </c>
      <c r="D47" s="3">
        <v>4</v>
      </c>
      <c r="E47" s="3">
        <v>2</v>
      </c>
      <c r="F47" s="3">
        <v>3</v>
      </c>
      <c r="G47" s="5">
        <v>5</v>
      </c>
      <c r="H47" s="3">
        <f>AVERAGE(C47:G47)</f>
        <v>3.6</v>
      </c>
      <c r="I47" s="2"/>
      <c r="J47" s="4" t="s">
        <v>1</v>
      </c>
      <c r="K47" s="3">
        <v>5</v>
      </c>
      <c r="L47" s="3">
        <v>4</v>
      </c>
      <c r="M47" s="3">
        <v>5</v>
      </c>
      <c r="N47" s="3">
        <v>2</v>
      </c>
      <c r="O47" s="3">
        <v>5</v>
      </c>
      <c r="P47" s="6">
        <f t="shared" ref="P47:P55" si="6">AVERAGE(C47:O47)</f>
        <v>3.872727272727273</v>
      </c>
    </row>
    <row r="48" spans="2:16" x14ac:dyDescent="0.2">
      <c r="B48" s="4" t="s">
        <v>2</v>
      </c>
      <c r="C48" s="3">
        <v>4</v>
      </c>
      <c r="D48" s="3">
        <v>2</v>
      </c>
      <c r="E48" s="3">
        <v>3</v>
      </c>
      <c r="F48" s="3">
        <v>4</v>
      </c>
      <c r="G48" s="5">
        <v>2</v>
      </c>
      <c r="H48" s="3">
        <f t="shared" ref="H48:H55" si="7">AVERAGE(C48:G48)</f>
        <v>3</v>
      </c>
      <c r="I48" s="2"/>
      <c r="J48" s="4" t="s">
        <v>2</v>
      </c>
      <c r="K48" s="3">
        <v>4</v>
      </c>
      <c r="L48" s="3">
        <v>3</v>
      </c>
      <c r="M48" s="3">
        <v>3</v>
      </c>
      <c r="N48" s="3">
        <v>2</v>
      </c>
      <c r="O48" s="3">
        <v>4</v>
      </c>
      <c r="P48" s="6">
        <f t="shared" si="6"/>
        <v>3.0909090909090908</v>
      </c>
    </row>
    <row r="49" spans="2:16" x14ac:dyDescent="0.2">
      <c r="B49" s="4" t="s">
        <v>3</v>
      </c>
      <c r="C49" s="3">
        <v>2</v>
      </c>
      <c r="D49" s="3">
        <v>4</v>
      </c>
      <c r="E49" s="3">
        <v>2</v>
      </c>
      <c r="F49" s="3">
        <v>3</v>
      </c>
      <c r="G49" s="5">
        <v>4</v>
      </c>
      <c r="H49" s="3">
        <f t="shared" si="7"/>
        <v>3</v>
      </c>
      <c r="I49" s="2"/>
      <c r="J49" s="4" t="s">
        <v>3</v>
      </c>
      <c r="K49" s="3">
        <v>3</v>
      </c>
      <c r="L49" s="3">
        <v>2</v>
      </c>
      <c r="M49" s="3">
        <v>2</v>
      </c>
      <c r="N49" s="3">
        <v>1</v>
      </c>
      <c r="O49" s="3">
        <v>2</v>
      </c>
      <c r="P49" s="6">
        <f t="shared" si="6"/>
        <v>2.5454545454545454</v>
      </c>
    </row>
    <row r="50" spans="2:16" x14ac:dyDescent="0.2">
      <c r="B50" s="4" t="s">
        <v>4</v>
      </c>
      <c r="C50" s="3">
        <v>2</v>
      </c>
      <c r="D50" s="3">
        <v>3</v>
      </c>
      <c r="E50" s="3">
        <v>1</v>
      </c>
      <c r="F50" s="3">
        <v>3</v>
      </c>
      <c r="G50" s="5">
        <v>2</v>
      </c>
      <c r="H50" s="3">
        <f t="shared" si="7"/>
        <v>2.2000000000000002</v>
      </c>
      <c r="I50" s="2"/>
      <c r="J50" s="4" t="s">
        <v>4</v>
      </c>
      <c r="K50" s="3">
        <v>3</v>
      </c>
      <c r="L50" s="3">
        <v>2</v>
      </c>
      <c r="M50" s="3">
        <v>2</v>
      </c>
      <c r="N50" s="3">
        <v>1</v>
      </c>
      <c r="O50" s="3">
        <v>3</v>
      </c>
      <c r="P50" s="6">
        <f t="shared" si="6"/>
        <v>2.1999999999999997</v>
      </c>
    </row>
    <row r="51" spans="2:16" x14ac:dyDescent="0.2">
      <c r="B51" s="4" t="s">
        <v>5</v>
      </c>
      <c r="C51" s="3">
        <v>1</v>
      </c>
      <c r="D51" s="3">
        <v>1</v>
      </c>
      <c r="E51" s="3">
        <v>1</v>
      </c>
      <c r="F51" s="3">
        <v>1</v>
      </c>
      <c r="G51" s="5">
        <v>2</v>
      </c>
      <c r="H51" s="3">
        <f t="shared" si="7"/>
        <v>1.2</v>
      </c>
      <c r="I51" s="2"/>
      <c r="J51" s="4" t="s">
        <v>5</v>
      </c>
      <c r="K51" s="3">
        <v>1</v>
      </c>
      <c r="L51" s="3">
        <v>1</v>
      </c>
      <c r="M51" s="3">
        <v>1</v>
      </c>
      <c r="N51" s="3">
        <v>2</v>
      </c>
      <c r="O51" s="3">
        <v>1</v>
      </c>
      <c r="P51" s="6">
        <f t="shared" si="6"/>
        <v>1.2</v>
      </c>
    </row>
    <row r="52" spans="2:16" x14ac:dyDescent="0.2">
      <c r="B52" s="4" t="s">
        <v>6</v>
      </c>
      <c r="C52" s="3">
        <v>3</v>
      </c>
      <c r="D52" s="3">
        <v>1</v>
      </c>
      <c r="E52" s="3">
        <v>1</v>
      </c>
      <c r="F52" s="3">
        <v>2</v>
      </c>
      <c r="G52" s="5">
        <v>2</v>
      </c>
      <c r="H52" s="3">
        <f t="shared" si="7"/>
        <v>1.8</v>
      </c>
      <c r="I52" s="2"/>
      <c r="J52" s="4" t="s">
        <v>6</v>
      </c>
      <c r="K52" s="3">
        <v>2</v>
      </c>
      <c r="L52" s="3">
        <v>3</v>
      </c>
      <c r="M52" s="3">
        <v>3</v>
      </c>
      <c r="N52" s="3">
        <v>2</v>
      </c>
      <c r="O52" s="3">
        <v>2</v>
      </c>
      <c r="P52" s="6">
        <f t="shared" si="6"/>
        <v>2.0727272727272728</v>
      </c>
    </row>
    <row r="53" spans="2:16" x14ac:dyDescent="0.2">
      <c r="B53" s="4" t="s">
        <v>7</v>
      </c>
      <c r="C53" s="3">
        <v>4</v>
      </c>
      <c r="D53" s="3">
        <v>1</v>
      </c>
      <c r="E53" s="3">
        <v>1</v>
      </c>
      <c r="F53" s="3">
        <v>4</v>
      </c>
      <c r="G53" s="5">
        <v>3</v>
      </c>
      <c r="H53" s="3">
        <f t="shared" si="7"/>
        <v>2.6</v>
      </c>
      <c r="I53" s="2"/>
      <c r="J53" s="4" t="s">
        <v>7</v>
      </c>
      <c r="K53" s="3">
        <v>3</v>
      </c>
      <c r="L53" s="3">
        <v>4</v>
      </c>
      <c r="M53" s="3">
        <v>5</v>
      </c>
      <c r="N53" s="3">
        <v>3</v>
      </c>
      <c r="O53" s="3">
        <v>4</v>
      </c>
      <c r="P53" s="6">
        <f t="shared" si="6"/>
        <v>3.1454545454545455</v>
      </c>
    </row>
    <row r="54" spans="2:16" x14ac:dyDescent="0.2">
      <c r="B54" s="4" t="s">
        <v>8</v>
      </c>
      <c r="C54" s="3">
        <v>3</v>
      </c>
      <c r="D54" s="3">
        <v>1</v>
      </c>
      <c r="E54" s="3">
        <v>1</v>
      </c>
      <c r="F54" s="3">
        <v>4</v>
      </c>
      <c r="G54" s="5">
        <v>3</v>
      </c>
      <c r="H54" s="3">
        <f t="shared" si="7"/>
        <v>2.4</v>
      </c>
      <c r="I54" s="2"/>
      <c r="J54" s="4" t="s">
        <v>8</v>
      </c>
      <c r="K54" s="3">
        <v>3</v>
      </c>
      <c r="L54" s="3">
        <v>4</v>
      </c>
      <c r="M54" s="3">
        <v>2</v>
      </c>
      <c r="N54" s="3">
        <v>2</v>
      </c>
      <c r="O54" s="3">
        <v>4</v>
      </c>
      <c r="P54" s="6">
        <f t="shared" si="6"/>
        <v>2.6727272727272724</v>
      </c>
    </row>
    <row r="55" spans="2:16" x14ac:dyDescent="0.2">
      <c r="B55" s="4" t="s">
        <v>9</v>
      </c>
      <c r="C55" s="3">
        <v>3</v>
      </c>
      <c r="D55" s="3">
        <v>5</v>
      </c>
      <c r="E55" s="3">
        <v>2</v>
      </c>
      <c r="F55" s="3">
        <v>1</v>
      </c>
      <c r="G55" s="5">
        <v>4</v>
      </c>
      <c r="H55" s="3">
        <f t="shared" si="7"/>
        <v>3</v>
      </c>
      <c r="I55" s="2"/>
      <c r="J55" s="4" t="s">
        <v>9</v>
      </c>
      <c r="K55" s="3">
        <v>2</v>
      </c>
      <c r="L55" s="3">
        <v>1</v>
      </c>
      <c r="M55" s="3">
        <v>3</v>
      </c>
      <c r="N55" s="3">
        <v>2</v>
      </c>
      <c r="O55" s="3">
        <v>3</v>
      </c>
      <c r="P55" s="6">
        <f t="shared" si="6"/>
        <v>2.6363636363636362</v>
      </c>
    </row>
    <row r="56" spans="2:16" x14ac:dyDescent="0.2">
      <c r="P56" s="7"/>
    </row>
    <row r="57" spans="2:16" x14ac:dyDescent="0.2">
      <c r="P57" s="7"/>
    </row>
    <row r="58" spans="2:16" ht="24" x14ac:dyDescent="0.25">
      <c r="B58" s="9" t="s">
        <v>24</v>
      </c>
      <c r="C58" s="9"/>
      <c r="D58" s="9"/>
      <c r="E58" s="9"/>
      <c r="F58" s="9"/>
      <c r="G58" s="9"/>
      <c r="H58" s="9"/>
      <c r="I58" s="9"/>
      <c r="J58" s="9" t="s">
        <v>24</v>
      </c>
      <c r="K58" s="9"/>
      <c r="L58" s="9"/>
      <c r="M58" s="9"/>
      <c r="N58" s="9"/>
      <c r="O58" s="9"/>
      <c r="P58" s="7"/>
    </row>
    <row r="59" spans="2:16" x14ac:dyDescent="0.2">
      <c r="C59" s="8" t="s">
        <v>20</v>
      </c>
      <c r="D59" s="8"/>
      <c r="E59" s="8"/>
      <c r="F59" s="8"/>
      <c r="G59" s="8"/>
      <c r="K59" s="8"/>
      <c r="L59" s="8"/>
      <c r="M59" s="8"/>
      <c r="N59" s="8"/>
      <c r="O59" s="8"/>
      <c r="P59" s="7"/>
    </row>
    <row r="60" spans="2:16" x14ac:dyDescent="0.2">
      <c r="B60" s="4" t="s">
        <v>0</v>
      </c>
      <c r="C60" s="3" t="s">
        <v>10</v>
      </c>
      <c r="D60" s="3" t="s">
        <v>11</v>
      </c>
      <c r="E60" s="3" t="s">
        <v>12</v>
      </c>
      <c r="F60" s="3" t="s">
        <v>17</v>
      </c>
      <c r="G60" s="5" t="s">
        <v>18</v>
      </c>
      <c r="H60" s="3" t="s">
        <v>26</v>
      </c>
      <c r="I60" s="2"/>
      <c r="J60" s="4" t="s">
        <v>0</v>
      </c>
      <c r="K60" s="3" t="s">
        <v>14</v>
      </c>
      <c r="L60" s="3" t="s">
        <v>15</v>
      </c>
      <c r="M60" s="3" t="s">
        <v>16</v>
      </c>
      <c r="N60" s="3" t="s">
        <v>13</v>
      </c>
      <c r="O60" s="3" t="s">
        <v>25</v>
      </c>
      <c r="P60" s="6" t="s">
        <v>26</v>
      </c>
    </row>
    <row r="61" spans="2:16" x14ac:dyDescent="0.2">
      <c r="B61" s="4" t="s">
        <v>1</v>
      </c>
      <c r="C61" s="3">
        <v>4</v>
      </c>
      <c r="D61" s="3">
        <v>5</v>
      </c>
      <c r="E61" s="3">
        <v>3</v>
      </c>
      <c r="F61" s="3">
        <v>3</v>
      </c>
      <c r="G61" s="5">
        <v>3</v>
      </c>
      <c r="H61" s="3">
        <f>AVERAGE(C61:G61)</f>
        <v>3.6</v>
      </c>
      <c r="I61" s="2"/>
      <c r="J61" s="4" t="s">
        <v>1</v>
      </c>
      <c r="K61" s="3">
        <v>4</v>
      </c>
      <c r="L61" s="3">
        <v>4</v>
      </c>
      <c r="M61" s="3">
        <v>4</v>
      </c>
      <c r="N61" s="3">
        <v>2</v>
      </c>
      <c r="O61" s="3">
        <v>4</v>
      </c>
      <c r="P61" s="6">
        <f t="shared" ref="P61:P69" si="8">AVERAGE(C61:O61)</f>
        <v>3.6</v>
      </c>
    </row>
    <row r="62" spans="2:16" x14ac:dyDescent="0.2">
      <c r="B62" s="4" t="s">
        <v>2</v>
      </c>
      <c r="C62" s="3">
        <v>4</v>
      </c>
      <c r="D62" s="3">
        <v>5</v>
      </c>
      <c r="E62" s="3">
        <v>1</v>
      </c>
      <c r="F62" s="3">
        <v>5</v>
      </c>
      <c r="G62" s="3">
        <v>2</v>
      </c>
      <c r="H62" s="3">
        <f t="shared" ref="H62:H69" si="9">AVERAGE(C62:G62)</f>
        <v>3.4</v>
      </c>
      <c r="I62" s="2"/>
      <c r="J62" s="4" t="s">
        <v>2</v>
      </c>
      <c r="K62" s="3">
        <v>2</v>
      </c>
      <c r="L62" s="3">
        <v>4</v>
      </c>
      <c r="M62" s="3">
        <v>4</v>
      </c>
      <c r="N62" s="3">
        <v>3</v>
      </c>
      <c r="O62" s="3">
        <v>2</v>
      </c>
      <c r="P62" s="6">
        <f t="shared" si="8"/>
        <v>3.2181818181818183</v>
      </c>
    </row>
    <row r="63" spans="2:16" x14ac:dyDescent="0.2">
      <c r="B63" s="4" t="s">
        <v>3</v>
      </c>
      <c r="C63" s="3">
        <v>3</v>
      </c>
      <c r="D63" s="3">
        <v>5</v>
      </c>
      <c r="E63" s="3">
        <v>1</v>
      </c>
      <c r="F63" s="3">
        <v>4</v>
      </c>
      <c r="G63" s="3">
        <v>3</v>
      </c>
      <c r="H63" s="3">
        <f t="shared" si="9"/>
        <v>3.2</v>
      </c>
      <c r="I63" s="2"/>
      <c r="J63" s="4" t="s">
        <v>3</v>
      </c>
      <c r="K63" s="3">
        <v>4</v>
      </c>
      <c r="L63" s="3">
        <v>4</v>
      </c>
      <c r="M63" s="3">
        <v>3</v>
      </c>
      <c r="N63" s="3">
        <v>2</v>
      </c>
      <c r="O63" s="3">
        <v>2</v>
      </c>
      <c r="P63" s="6">
        <f t="shared" si="8"/>
        <v>3.1090909090909093</v>
      </c>
    </row>
    <row r="64" spans="2:16" x14ac:dyDescent="0.2">
      <c r="B64" s="4" t="s">
        <v>4</v>
      </c>
      <c r="C64" s="3">
        <v>3</v>
      </c>
      <c r="D64" s="3">
        <v>1</v>
      </c>
      <c r="E64" s="3">
        <v>2</v>
      </c>
      <c r="F64" s="3">
        <v>3</v>
      </c>
      <c r="G64" s="3">
        <v>3</v>
      </c>
      <c r="H64" s="3">
        <f t="shared" si="9"/>
        <v>2.4</v>
      </c>
      <c r="I64" s="2"/>
      <c r="J64" s="4" t="s">
        <v>4</v>
      </c>
      <c r="K64" s="3">
        <v>2</v>
      </c>
      <c r="L64" s="3">
        <v>4</v>
      </c>
      <c r="M64" s="3">
        <v>2</v>
      </c>
      <c r="N64" s="3">
        <v>2</v>
      </c>
      <c r="O64" s="3">
        <v>3</v>
      </c>
      <c r="P64" s="6">
        <f t="shared" si="8"/>
        <v>2.4909090909090907</v>
      </c>
    </row>
    <row r="65" spans="2:16" x14ac:dyDescent="0.2">
      <c r="B65" s="4" t="s">
        <v>5</v>
      </c>
      <c r="C65" s="3">
        <v>1</v>
      </c>
      <c r="D65" s="3">
        <v>1</v>
      </c>
      <c r="E65" s="3">
        <v>3</v>
      </c>
      <c r="F65" s="3">
        <v>1</v>
      </c>
      <c r="G65" s="3">
        <v>2</v>
      </c>
      <c r="H65" s="3">
        <f t="shared" si="9"/>
        <v>1.6</v>
      </c>
      <c r="I65" s="2"/>
      <c r="J65" s="4" t="s">
        <v>5</v>
      </c>
      <c r="K65" s="3">
        <v>1</v>
      </c>
      <c r="L65" s="3">
        <v>2</v>
      </c>
      <c r="M65" s="3">
        <v>1</v>
      </c>
      <c r="N65" s="3">
        <v>1</v>
      </c>
      <c r="O65" s="3">
        <v>1</v>
      </c>
      <c r="P65" s="6">
        <f t="shared" si="8"/>
        <v>1.4181818181818182</v>
      </c>
    </row>
    <row r="66" spans="2:16" x14ac:dyDescent="0.2">
      <c r="B66" s="4" t="s">
        <v>6</v>
      </c>
      <c r="C66" s="3">
        <v>3</v>
      </c>
      <c r="D66" s="3">
        <v>1</v>
      </c>
      <c r="E66" s="3">
        <v>2</v>
      </c>
      <c r="F66" s="3">
        <v>1</v>
      </c>
      <c r="G66" s="3">
        <v>2</v>
      </c>
      <c r="H66" s="3">
        <f t="shared" si="9"/>
        <v>1.8</v>
      </c>
      <c r="I66" s="2"/>
      <c r="J66" s="4" t="s">
        <v>6</v>
      </c>
      <c r="K66" s="3">
        <v>2</v>
      </c>
      <c r="L66" s="3">
        <v>4</v>
      </c>
      <c r="M66" s="3">
        <v>2</v>
      </c>
      <c r="N66" s="3">
        <v>2</v>
      </c>
      <c r="O66" s="3">
        <v>4</v>
      </c>
      <c r="P66" s="6">
        <f t="shared" si="8"/>
        <v>2.2545454545454544</v>
      </c>
    </row>
    <row r="67" spans="2:16" x14ac:dyDescent="0.2">
      <c r="B67" s="4" t="s">
        <v>7</v>
      </c>
      <c r="C67" s="3">
        <v>3</v>
      </c>
      <c r="D67" s="3">
        <v>1</v>
      </c>
      <c r="E67" s="3">
        <v>1</v>
      </c>
      <c r="F67" s="3">
        <v>1</v>
      </c>
      <c r="G67" s="3">
        <v>3</v>
      </c>
      <c r="H67" s="3">
        <f t="shared" si="9"/>
        <v>1.8</v>
      </c>
      <c r="I67" s="2"/>
      <c r="J67" s="4" t="s">
        <v>7</v>
      </c>
      <c r="K67" s="3">
        <v>2</v>
      </c>
      <c r="L67" s="3">
        <v>5</v>
      </c>
      <c r="M67" s="3">
        <v>3</v>
      </c>
      <c r="N67" s="3">
        <v>4</v>
      </c>
      <c r="O67" s="3">
        <v>3</v>
      </c>
      <c r="P67" s="6">
        <f t="shared" si="8"/>
        <v>2.5272727272727273</v>
      </c>
    </row>
    <row r="68" spans="2:16" x14ac:dyDescent="0.2">
      <c r="B68" s="4" t="s">
        <v>8</v>
      </c>
      <c r="C68" s="3">
        <v>3</v>
      </c>
      <c r="D68" s="3">
        <v>4</v>
      </c>
      <c r="E68" s="3">
        <v>1</v>
      </c>
      <c r="F68" s="3">
        <v>4</v>
      </c>
      <c r="G68" s="3">
        <v>1</v>
      </c>
      <c r="H68" s="3">
        <f t="shared" si="9"/>
        <v>2.6</v>
      </c>
      <c r="I68" s="2"/>
      <c r="J68" s="4" t="s">
        <v>8</v>
      </c>
      <c r="K68" s="3">
        <v>3</v>
      </c>
      <c r="L68" s="3">
        <v>5</v>
      </c>
      <c r="M68" s="3">
        <v>3</v>
      </c>
      <c r="N68" s="3">
        <v>3</v>
      </c>
      <c r="O68" s="3">
        <v>3</v>
      </c>
      <c r="P68" s="6">
        <f t="shared" si="8"/>
        <v>2.9636363636363638</v>
      </c>
    </row>
    <row r="69" spans="2:16" x14ac:dyDescent="0.2">
      <c r="B69" s="4" t="s">
        <v>9</v>
      </c>
      <c r="C69" s="3">
        <v>3</v>
      </c>
      <c r="D69" s="3">
        <v>3</v>
      </c>
      <c r="E69" s="3">
        <v>1</v>
      </c>
      <c r="F69" s="3">
        <v>3</v>
      </c>
      <c r="G69" s="3">
        <v>3</v>
      </c>
      <c r="H69" s="3">
        <f t="shared" si="9"/>
        <v>2.6</v>
      </c>
      <c r="I69" s="2"/>
      <c r="J69" s="4" t="s">
        <v>9</v>
      </c>
      <c r="K69" s="3">
        <v>4</v>
      </c>
      <c r="L69" s="3">
        <v>4</v>
      </c>
      <c r="M69" s="3">
        <v>3</v>
      </c>
      <c r="N69" s="3">
        <v>1</v>
      </c>
      <c r="O69" s="3">
        <v>4</v>
      </c>
      <c r="P69" s="6">
        <f t="shared" si="8"/>
        <v>2.872727272727273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48F0C-F224-4B48-9D8B-F68E612A699F}">
  <dimension ref="B2:I16"/>
  <sheetViews>
    <sheetView workbookViewId="0">
      <selection activeCell="K11" sqref="K11"/>
    </sheetView>
  </sheetViews>
  <sheetFormatPr baseColWidth="10" defaultRowHeight="16" x14ac:dyDescent="0.2"/>
  <cols>
    <col min="2" max="2" width="26" bestFit="1" customWidth="1"/>
    <col min="3" max="9" width="10.6640625" style="2"/>
  </cols>
  <sheetData>
    <row r="2" spans="2:9" x14ac:dyDescent="0.2">
      <c r="B2" s="8" t="s">
        <v>28</v>
      </c>
      <c r="C2" s="3" t="s">
        <v>12</v>
      </c>
      <c r="D2" s="3" t="s">
        <v>10</v>
      </c>
      <c r="E2" s="3" t="s">
        <v>25</v>
      </c>
      <c r="F2" s="3" t="s">
        <v>29</v>
      </c>
      <c r="G2" s="3" t="s">
        <v>30</v>
      </c>
      <c r="H2" s="3" t="s">
        <v>18</v>
      </c>
      <c r="I2" s="3" t="s">
        <v>31</v>
      </c>
    </row>
    <row r="3" spans="2:9" x14ac:dyDescent="0.2">
      <c r="B3" s="8" t="s">
        <v>32</v>
      </c>
      <c r="C3" s="3"/>
      <c r="D3" s="3"/>
      <c r="E3" s="3"/>
      <c r="F3" s="3"/>
      <c r="G3" s="3"/>
      <c r="H3" s="3"/>
      <c r="I3" s="3"/>
    </row>
    <row r="4" spans="2:9" x14ac:dyDescent="0.2">
      <c r="B4" s="8" t="s">
        <v>33</v>
      </c>
      <c r="C4" s="3">
        <v>1</v>
      </c>
      <c r="D4" s="3">
        <v>1</v>
      </c>
      <c r="E4" s="3"/>
      <c r="F4" s="3">
        <v>1</v>
      </c>
      <c r="G4" s="3"/>
      <c r="H4" s="3">
        <v>1</v>
      </c>
      <c r="I4" s="3"/>
    </row>
    <row r="5" spans="2:9" x14ac:dyDescent="0.2">
      <c r="B5" s="8" t="s">
        <v>34</v>
      </c>
      <c r="C5" s="3">
        <v>2</v>
      </c>
      <c r="D5" s="3">
        <v>2</v>
      </c>
      <c r="E5" s="3"/>
      <c r="F5" s="3">
        <v>3</v>
      </c>
      <c r="G5" s="3"/>
      <c r="H5" s="3">
        <v>3</v>
      </c>
      <c r="I5" s="3"/>
    </row>
    <row r="6" spans="2:9" x14ac:dyDescent="0.2">
      <c r="B6" s="8" t="s">
        <v>35</v>
      </c>
      <c r="C6" s="3"/>
      <c r="D6" s="3"/>
      <c r="E6" s="3"/>
      <c r="F6" s="3"/>
      <c r="G6" s="3"/>
      <c r="H6" s="3"/>
      <c r="I6" s="3"/>
    </row>
    <row r="7" spans="2:9" x14ac:dyDescent="0.2">
      <c r="B7" s="8" t="s">
        <v>36</v>
      </c>
      <c r="C7" s="3"/>
      <c r="D7" s="3">
        <v>5</v>
      </c>
      <c r="E7" s="3"/>
      <c r="F7" s="3"/>
      <c r="G7" s="3"/>
      <c r="H7" s="3">
        <v>2</v>
      </c>
      <c r="I7" s="3"/>
    </row>
    <row r="8" spans="2:9" x14ac:dyDescent="0.2">
      <c r="B8" s="8" t="s">
        <v>37</v>
      </c>
      <c r="C8" s="3"/>
      <c r="D8" s="3">
        <v>3</v>
      </c>
      <c r="E8" s="3"/>
      <c r="F8" s="3">
        <v>2</v>
      </c>
      <c r="G8" s="3"/>
      <c r="H8" s="3">
        <v>5</v>
      </c>
      <c r="I8" s="3"/>
    </row>
    <row r="9" spans="2:9" x14ac:dyDescent="0.2">
      <c r="B9" s="8" t="s">
        <v>38</v>
      </c>
      <c r="C9" s="3"/>
      <c r="D9" s="3"/>
      <c r="E9" s="3"/>
      <c r="F9" s="3">
        <v>5</v>
      </c>
      <c r="G9" s="3"/>
      <c r="H9" s="3"/>
      <c r="I9" s="3"/>
    </row>
    <row r="10" spans="2:9" x14ac:dyDescent="0.2">
      <c r="B10" s="8" t="s">
        <v>39</v>
      </c>
      <c r="C10" s="3"/>
      <c r="D10" s="3"/>
      <c r="E10" s="3"/>
      <c r="F10" s="3"/>
      <c r="G10" s="3"/>
      <c r="H10" s="3"/>
      <c r="I10" s="3"/>
    </row>
    <row r="11" spans="2:9" x14ac:dyDescent="0.2">
      <c r="B11" s="8" t="s">
        <v>40</v>
      </c>
      <c r="C11" s="3"/>
      <c r="D11" s="3"/>
      <c r="E11" s="3"/>
      <c r="F11" s="3">
        <v>4</v>
      </c>
      <c r="G11" s="3"/>
      <c r="H11" s="3"/>
      <c r="I11" s="3"/>
    </row>
    <row r="12" spans="2:9" x14ac:dyDescent="0.2">
      <c r="B12" s="8" t="s">
        <v>41</v>
      </c>
      <c r="C12" s="3"/>
      <c r="D12" s="3"/>
      <c r="E12" s="3"/>
      <c r="F12" s="3"/>
      <c r="G12" s="3"/>
      <c r="H12" s="3"/>
      <c r="I12" s="3"/>
    </row>
    <row r="13" spans="2:9" x14ac:dyDescent="0.2">
      <c r="B13" s="8" t="s">
        <v>42</v>
      </c>
      <c r="C13" s="3">
        <v>3</v>
      </c>
      <c r="D13" s="3"/>
      <c r="E13" s="3"/>
      <c r="F13" s="3"/>
      <c r="G13" s="3"/>
      <c r="H13" s="3"/>
      <c r="I13" s="3"/>
    </row>
    <row r="14" spans="2:9" x14ac:dyDescent="0.2">
      <c r="B14" s="8" t="s">
        <v>43</v>
      </c>
      <c r="C14" s="3"/>
      <c r="D14" s="3"/>
      <c r="E14" s="3"/>
      <c r="F14" s="3"/>
      <c r="G14" s="3"/>
      <c r="H14" s="3"/>
      <c r="I14" s="3"/>
    </row>
    <row r="15" spans="2:9" x14ac:dyDescent="0.2">
      <c r="B15" s="8" t="s">
        <v>44</v>
      </c>
      <c r="C15" s="3">
        <v>4</v>
      </c>
      <c r="D15" s="3">
        <v>4</v>
      </c>
      <c r="E15" s="3"/>
      <c r="F15" s="3"/>
      <c r="G15" s="3"/>
      <c r="H15" s="3"/>
      <c r="I15" s="3"/>
    </row>
    <row r="16" spans="2:9" x14ac:dyDescent="0.2">
      <c r="B16" s="8" t="s">
        <v>45</v>
      </c>
      <c r="C16" s="3">
        <v>5</v>
      </c>
      <c r="D16" s="3"/>
      <c r="E16" s="3"/>
      <c r="F16" s="3"/>
      <c r="G16" s="3"/>
      <c r="H16" s="3">
        <v>4</v>
      </c>
      <c r="I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 (2)</vt:lpstr>
      <vt:lpstr>Hoja4</vt:lpstr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Eleodoro Javier Riveras Hernandez</dc:creator>
  <cp:lastModifiedBy>Francisco Cubillos Riffo</cp:lastModifiedBy>
  <dcterms:created xsi:type="dcterms:W3CDTF">2023-11-09T13:14:07Z</dcterms:created>
  <dcterms:modified xsi:type="dcterms:W3CDTF">2026-06-05T19:33:11Z</dcterms:modified>
</cp:coreProperties>
</file>